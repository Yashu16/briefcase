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></Relationship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Briefcase cash and runway" sheetId="1" r:id="rId1"/>
    <sheet name="Briefcase conversion and cost s" sheetId="2" r:id="rId2"/>
    <sheet name="Briefcase cash chart series" sheetId="3" r:id="rId3"/>
    <sheet name="Model inputs" sheetId="4" r:id="rId4"/>
  </sheets>
  <calcPr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&quot;$&quot;#,##0;(&quot;$&quot;#,##0)"/>
    <numFmt numFmtId="165" formatCode="#,##0.0;(#,##0.0)"/>
    <numFmt numFmtId="166" formatCode="#,##0.###;(#,##0.###)"/>
    <numFmt numFmtId="167" formatCode="0.0%"/>
    <numFmt numFmtId="168" formatCode="&quot;$&quot;#,##0.00;(&quot;$&quot;#,##0.00)"/>
  </numFmts>
  <fonts count="5">
    <font>
      <sz val="10"/>
      <color rgb="FF352F29"/>
      <name val="Aptos"/>
    </font>
    <font>
      <b/>
      <sz val="16"/>
      <color rgb="FFFFFFFF"/>
      <name val="Aptos"/>
    </font>
    <font>
      <sz val="9"/>
      <color rgb="FF817B73"/>
      <name val="Aptos"/>
    </font>
    <font>
      <b/>
      <sz val="10"/>
      <color rgb="FF352F29"/>
      <name val="Aptos"/>
    </font>
    <font>
      <sz val="10"/>
      <color rgb="FF817B73"/>
      <name val="Aptos"/>
    </font>
  </fonts>
  <fills count="7">
    <fill>
      <patternFill patternType="none"/>
    </fill>
    <fill>
      <patternFill patternType="gray125"/>
    </fill>
    <fill>
      <patternFill patternType="solid">
        <fgColor rgb="FF352F29"/>
        <bgColor indexed="64"/>
      </patternFill>
    </fill>
    <fill>
      <patternFill patternType="solid">
        <fgColor rgb="FFF0EDE8"/>
        <bgColor indexed="64"/>
      </patternFill>
    </fill>
    <fill>
      <patternFill patternType="solid">
        <fgColor rgb="FFE6E0D7"/>
        <bgColor indexed="64"/>
      </patternFill>
    </fill>
    <fill>
      <patternFill patternType="solid">
        <fgColor rgb="FFF5F2EC"/>
        <bgColor indexed="64"/>
      </patternFill>
    </fill>
    <fill>
      <patternFill patternType="solid">
        <fgColor rgb="FFF7F9FC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E7E3D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ill="1" applyFont="1" applyAlignment="1">
      <alignment vertical="center" horizontal="left" indent="1"/>
    </xf>
    <xf numFmtId="0" fontId="2" fillId="0" borderId="0" xfId="0" applyFont="1"/>
    <xf numFmtId="0" fontId="3" fillId="3" borderId="1" xfId="0" applyFill="1" applyFont="1" applyBorder="1" applyAlignment="1">
      <alignment vertical="center" horizontal="left"/>
    </xf>
    <xf numFmtId="0" fontId="3" fillId="3" borderId="1" xfId="0" applyFill="1" applyFont="1" applyBorder="1" applyAlignment="1">
      <alignment vertical="center" horizontal="right"/>
    </xf>
    <xf numFmtId="0" fontId="3" fillId="4" borderId="1" xfId="0" applyFill="1" applyFont="1" applyBorder="1" applyAlignment="1">
      <alignment vertical="center" horizontal="right"/>
    </xf>
    <xf numFmtId="0" fontId="3" fillId="5" borderId="1" xfId="0" applyFill="1" applyFont="1" applyBorder="1" applyAlignment="1">
      <alignment vertical="center" horizontal="left"/>
    </xf>
    <xf numFmtId="164" fontId="3" fillId="5" borderId="1" xfId="0" applyNumberFormat="1" applyFill="1" applyFont="1" applyBorder="1" applyAlignment="1">
      <alignment vertical="center" horizontal="right"/>
    </xf>
    <xf numFmtId="0" fontId="0" fillId="0" borderId="0" xfId="0" applyAlignment="1">
      <alignment vertical="center" horizontal="left" indent="1"/>
    </xf>
    <xf numFmtId="164" fontId="0" fillId="0" borderId="0" xfId="0" applyNumberFormat="1" applyAlignment="1">
      <alignment vertical="center" horizontal="right"/>
    </xf>
    <xf numFmtId="165" fontId="3" fillId="5" borderId="1" xfId="0" applyNumberFormat="1" applyFill="1" applyFont="1" applyBorder="1" applyAlignment="1">
      <alignment vertical="center" horizontal="right"/>
    </xf>
    <xf numFmtId="165" fontId="0" fillId="0" borderId="0" xfId="0" applyNumberFormat="1" applyAlignment="1">
      <alignment vertical="center" horizontal="right"/>
    </xf>
    <xf numFmtId="0" fontId="0" fillId="0" borderId="0" xfId="0" applyAlignment="1">
      <alignment vertical="center" horizontal="left"/>
    </xf>
    <xf numFmtId="166" fontId="0" fillId="0" borderId="0" xfId="0" applyNumberFormat="1" applyAlignment="1">
      <alignment vertical="center" horizontal="right"/>
    </xf>
    <xf numFmtId="166" fontId="3" fillId="5" borderId="1" xfId="0" applyNumberFormat="1" applyFill="1" applyFont="1" applyBorder="1" applyAlignment="1">
      <alignment vertical="center" horizontal="right"/>
    </xf>
    <xf numFmtId="167" fontId="0" fillId="0" borderId="0" xfId="0" applyNumberFormat="1" applyAlignment="1">
      <alignment vertical="center" horizontal="right"/>
    </xf>
    <xf numFmtId="0" fontId="3" fillId="5" borderId="1" xfId="0" applyFill="1" applyFont="1" applyBorder="1"/>
    <xf numFmtId="0" fontId="3" fillId="6" borderId="0" xfId="0" applyFill="1" applyFont="1" applyAlignment="1">
      <alignment vertical="center" horizontal="left"/>
    </xf>
    <xf numFmtId="0" fontId="0" fillId="6" borderId="0" xfId="0" applyFill="1" applyAlignment="1">
      <alignment vertical="center" horizontal="left" indent="1"/>
    </xf>
    <xf numFmtId="168" fontId="0" fillId="0" borderId="0" xfId="0" applyNumberFormat="1" applyAlignment="1">
      <alignment vertical="center" horizontal="right"/>
    </xf>
    <xf numFmtId="0" fontId="4" fillId="0" borderId="0" xfId="0" applyFont="1" applyAlignment="1">
      <alignment vertical="center" horizontal="lef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worksheet" Target="worksheets/sheet3.xml"></Relationship><Relationship Id="rId4" Type="http://schemas.openxmlformats.org/officeDocument/2006/relationships/worksheet" Target="worksheets/sheet4.xml"></Relationship><Relationship Id="rId5" Type="http://schemas.openxmlformats.org/officeDocument/2006/relationships/styles" Target="styles.xml"></Relationship></Relationships>
</file>

<file path=xl/worksheets/sheet1.xml><?xml version="1.0" encoding="utf-8"?>
<worksheet xmlns="http://schemas.openxmlformats.org/spreadsheetml/2006/main">
  <dimension ref="A1:Q25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  <col min="3" max="3" width="19" customWidth="1"/>
    <col min="4" max="4" width="19" customWidth="1"/>
    <col min="5" max="5" width="19" customWidth="1"/>
    <col min="6" max="6" width="19" customWidth="1"/>
    <col min="7" max="7" width="19" customWidth="1"/>
    <col min="8" max="8" width="19" customWidth="1"/>
    <col min="9" max="9" width="19" customWidth="1"/>
    <col min="10" max="10" width="19" customWidth="1"/>
    <col min="11" max="11" width="19" customWidth="1"/>
    <col min="12" max="12" width="19" customWidth="1"/>
    <col min="13" max="13" width="19" customWidth="1"/>
    <col min="14" max="14" width="19" customWidth="1"/>
    <col min="15" max="15" width="19" customWidth="1"/>
    <col min="16" max="16" width="19" customWidth="1"/>
    <col min="17" max="17" width="19" customWidth="1"/>
  </cols>
  <sheetData>
    <row r="1" ht="32" customHeight="1">
      <c r="A1" t="inlineStr" s="1">
        <is>
          <t xml:space="preserve">Briefcase cash and runway</t>
        </is>
      </c>
    </row>
    <row r="2" ht="20" customHeight="1">
      <c r="A2" t="inlineStr" s="2">
        <is>
          <t xml:space="preserve">Briefcase — Runway &amp; decisions · Briefcase Base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2026-09</t>
        </is>
      </c>
      <c r="C4" t="inlineStr" s="5">
        <is>
          <t xml:space="preserve">2026-10</t>
        </is>
      </c>
      <c r="D4" t="inlineStr" s="4">
        <is>
          <t xml:space="preserve">2026-11</t>
        </is>
      </c>
      <c r="E4" t="inlineStr" s="4">
        <is>
          <t xml:space="preserve">2026-12</t>
        </is>
      </c>
      <c r="F4" t="inlineStr" s="5">
        <is>
          <t xml:space="preserve">2027-01</t>
        </is>
      </c>
      <c r="G4" t="inlineStr" s="4">
        <is>
          <t xml:space="preserve">2027-02</t>
        </is>
      </c>
      <c r="H4" t="inlineStr" s="4">
        <is>
          <t xml:space="preserve">2027-03</t>
        </is>
      </c>
      <c r="I4" t="inlineStr" s="5">
        <is>
          <t xml:space="preserve">2027-04</t>
        </is>
      </c>
      <c r="J4" t="inlineStr" s="4">
        <is>
          <t xml:space="preserve">2027-05</t>
        </is>
      </c>
      <c r="K4" t="inlineStr" s="4">
        <is>
          <t xml:space="preserve">2027-06</t>
        </is>
      </c>
      <c r="L4" t="inlineStr" s="5">
        <is>
          <t xml:space="preserve">2027-07</t>
        </is>
      </c>
      <c r="M4" t="inlineStr" s="4">
        <is>
          <t xml:space="preserve">2027-08</t>
        </is>
      </c>
      <c r="N4" t="inlineStr" s="4">
        <is>
          <t xml:space="preserve">2027-09</t>
        </is>
      </c>
      <c r="O4" t="inlineStr" s="5">
        <is>
          <t xml:space="preserve">2027-10</t>
        </is>
      </c>
      <c r="P4" t="inlineStr" s="4">
        <is>
          <t xml:space="preserve">2027-11</t>
        </is>
      </c>
      <c r="Q4" t="inlineStr" s="4">
        <is>
          <t xml:space="preserve">2027-12</t>
        </is>
      </c>
    </row>
    <row r="5">
      <c r="A5" t="inlineStr" s="6">
        <is>
          <t xml:space="preserve">Cash balance</t>
        </is>
      </c>
      <c r="B5" t="str" s="7">
        <f>""</f>
        <v/>
      </c>
      <c r="C5" t="str" s="7">
        <f>""</f>
        <v/>
      </c>
      <c r="D5" t="str" s="7">
        <f>""</f>
        <v/>
      </c>
      <c r="E5" t="str" s="7">
        <f>""</f>
        <v/>
      </c>
      <c r="F5" t="str" s="7">
        <f>""</f>
        <v/>
      </c>
      <c r="G5" t="str" s="7">
        <f>""</f>
        <v/>
      </c>
      <c r="H5" t="str" s="7">
        <f>""</f>
        <v/>
      </c>
      <c r="I5" t="str" s="7">
        <f>""</f>
        <v/>
      </c>
      <c r="J5" t="str" s="7">
        <f>""</f>
        <v/>
      </c>
      <c r="K5" t="str" s="7">
        <f>""</f>
        <v/>
      </c>
      <c r="L5" t="str" s="7">
        <f>""</f>
        <v/>
      </c>
      <c r="M5" t="str" s="7">
        <f>""</f>
        <v/>
      </c>
      <c r="N5" t="str" s="7">
        <f>""</f>
        <v/>
      </c>
      <c r="O5" t="str" s="7">
        <f>""</f>
        <v/>
      </c>
      <c r="P5" t="str" s="7">
        <f>""</f>
        <v/>
      </c>
      <c r="Q5" t="str" s="7">
        <f>""</f>
        <v/>
      </c>
    </row>
    <row r="6" outlineLevel="1">
      <c r="A6" t="inlineStr" s="8">
        <is>
          <t xml:space="preserve">Bootstrapped — $0</t>
        </is>
      </c>
      <c r="B6" s="9">
        <f>IF('Model inputs'!Z121="","",'Model inputs'!Z121)</f>
        <v>0</v>
      </c>
      <c r="C6" s="9">
        <f>'Briefcase cash and runway'!B6+'Briefcase conversion and cost s'!B65</f>
        <v>1810.0000000000002</v>
      </c>
      <c r="D6" s="9">
        <f>'Briefcase cash and runway'!C6+'Model inputs'!L83</f>
        <v>3620.0000000000005</v>
      </c>
      <c r="E6" s="9">
        <f>'Briefcase cash and runway'!D6+'Model inputs'!M83</f>
        <v>5430.000000000001</v>
      </c>
      <c r="F6" s="9">
        <f>'Briefcase cash and runway'!E6+'Model inputs'!N83</f>
        <v>7240.000000000001</v>
      </c>
      <c r="G6" s="9">
        <f>'Briefcase cash and runway'!F6+'Model inputs'!O83</f>
        <v>9050.000000000002</v>
      </c>
      <c r="H6" s="9">
        <f>'Briefcase cash and runway'!G6+'Model inputs'!P83</f>
        <v>10860.000000000002</v>
      </c>
      <c r="I6" s="9">
        <f>'Briefcase cash and runway'!H6+'Model inputs'!Q83</f>
        <v>12670.000000000002</v>
      </c>
      <c r="J6" s="9">
        <f>'Briefcase cash and runway'!I6+'Model inputs'!R83</f>
        <v>14480.000000000002</v>
      </c>
      <c r="K6" s="9">
        <f>'Briefcase cash and runway'!J6+'Model inputs'!S83</f>
        <v>16290.000000000002</v>
      </c>
      <c r="L6" s="9">
        <f>'Briefcase cash and runway'!K6+'Model inputs'!T83</f>
        <v>18100.000000000004</v>
      </c>
      <c r="M6" s="9">
        <f>'Briefcase cash and runway'!L6+'Model inputs'!U83</f>
        <v>19910.000000000004</v>
      </c>
      <c r="N6" s="9">
        <f>'Briefcase cash and runway'!M6+'Model inputs'!V83</f>
        <v>21720.000000000004</v>
      </c>
      <c r="O6" s="9">
        <f>'Briefcase cash and runway'!N6+'Model inputs'!W83</f>
        <v>23530.000000000004</v>
      </c>
      <c r="P6" s="9">
        <f>'Briefcase cash and runway'!O6+'Model inputs'!X83</f>
        <v>25340.000000000004</v>
      </c>
      <c r="Q6" s="9">
        <f>'Briefcase cash and runway'!P6+'Model inputs'!Y83</f>
        <v>27150.000000000004</v>
      </c>
    </row>
    <row r="7" outlineLevel="1">
      <c r="A7" t="inlineStr" s="8">
        <is>
          <t xml:space="preserve">Illustrative pre-seed — $25,000</t>
        </is>
      </c>
      <c r="B7" s="9">
        <f>IF('Model inputs'!Z122="","",'Model inputs'!Z122)</f>
        <v>25000</v>
      </c>
      <c r="C7" s="9">
        <f>'Briefcase cash and runway'!B7+'Briefcase conversion and cost s'!B65</f>
        <v>26810</v>
      </c>
      <c r="D7" s="9">
        <f>'Briefcase cash and runway'!C7+'Model inputs'!L83</f>
        <v>28620</v>
      </c>
      <c r="E7" s="9">
        <f>'Briefcase cash and runway'!D7+'Model inputs'!M83</f>
        <v>30430</v>
      </c>
      <c r="F7" s="9">
        <f>'Briefcase cash and runway'!E7+'Model inputs'!N83</f>
        <v>32240</v>
      </c>
      <c r="G7" s="9">
        <f>'Briefcase cash and runway'!F7+'Model inputs'!O83</f>
        <v>34050</v>
      </c>
      <c r="H7" s="9">
        <f>'Briefcase cash and runway'!G7+'Model inputs'!P83</f>
        <v>35860</v>
      </c>
      <c r="I7" s="9">
        <f>'Briefcase cash and runway'!H7+'Model inputs'!Q83</f>
        <v>37670</v>
      </c>
      <c r="J7" s="9">
        <f>'Briefcase cash and runway'!I7+'Model inputs'!R83</f>
        <v>39480</v>
      </c>
      <c r="K7" s="9">
        <f>'Briefcase cash and runway'!J7+'Model inputs'!S83</f>
        <v>41290</v>
      </c>
      <c r="L7" s="9">
        <f>'Briefcase cash and runway'!K7+'Model inputs'!T83</f>
        <v>43100</v>
      </c>
      <c r="M7" s="9">
        <f>'Briefcase cash and runway'!L7+'Model inputs'!U83</f>
        <v>44910</v>
      </c>
      <c r="N7" s="9">
        <f>'Briefcase cash and runway'!M7+'Model inputs'!V83</f>
        <v>46720</v>
      </c>
      <c r="O7" s="9">
        <f>'Briefcase cash and runway'!N7+'Model inputs'!W83</f>
        <v>48530</v>
      </c>
      <c r="P7" s="9">
        <f>'Briefcase cash and runway'!O7+'Model inputs'!X83</f>
        <v>50340</v>
      </c>
      <c r="Q7" s="9">
        <f>'Briefcase cash and runway'!P7+'Model inputs'!Y83</f>
        <v>52150</v>
      </c>
    </row>
    <row r="8" outlineLevel="1">
      <c r="A8" t="inlineStr" s="8">
        <is>
          <t xml:space="preserve">Lean launch — $5,000</t>
        </is>
      </c>
      <c r="B8" s="9">
        <f>IF('Model inputs'!Z123="","",'Model inputs'!Z123)</f>
        <v>5000</v>
      </c>
      <c r="C8" s="9">
        <f>'Briefcase cash and runway'!B8+'Briefcase conversion and cost s'!B65</f>
        <v>6810</v>
      </c>
      <c r="D8" s="9">
        <f>'Briefcase cash and runway'!C8+'Model inputs'!L83</f>
        <v>8620</v>
      </c>
      <c r="E8" s="9">
        <f>'Briefcase cash and runway'!D8+'Model inputs'!M83</f>
        <v>10430</v>
      </c>
      <c r="F8" s="9">
        <f>'Briefcase cash and runway'!E8+'Model inputs'!N83</f>
        <v>12240</v>
      </c>
      <c r="G8" s="9">
        <f>'Briefcase cash and runway'!F8+'Model inputs'!O83</f>
        <v>14050</v>
      </c>
      <c r="H8" s="9">
        <f>'Briefcase cash and runway'!G8+'Model inputs'!P83</f>
        <v>15860</v>
      </c>
      <c r="I8" s="9">
        <f>'Briefcase cash and runway'!H8+'Model inputs'!Q83</f>
        <v>17670</v>
      </c>
      <c r="J8" s="9">
        <f>'Briefcase cash and runway'!I8+'Model inputs'!R83</f>
        <v>19480</v>
      </c>
      <c r="K8" s="9">
        <f>'Briefcase cash and runway'!J8+'Model inputs'!S83</f>
        <v>21290</v>
      </c>
      <c r="L8" s="9">
        <f>'Briefcase cash and runway'!K8+'Model inputs'!T83</f>
        <v>23100</v>
      </c>
      <c r="M8" s="9">
        <f>'Briefcase cash and runway'!L8+'Model inputs'!U83</f>
        <v>24910</v>
      </c>
      <c r="N8" s="9">
        <f>'Briefcase cash and runway'!M8+'Model inputs'!V83</f>
        <v>26720</v>
      </c>
      <c r="O8" s="9">
        <f>'Briefcase cash and runway'!N8+'Model inputs'!W83</f>
        <v>28530</v>
      </c>
      <c r="P8" s="9">
        <f>'Briefcase cash and runway'!O8+'Model inputs'!X83</f>
        <v>30340</v>
      </c>
      <c r="Q8" s="9">
        <f>'Briefcase cash and runway'!P8+'Model inputs'!Y83</f>
        <v>32150</v>
      </c>
    </row>
    <row r="9">
      <c r="A9" t="inlineStr" s="6">
        <is>
          <t xml:space="preserve">Full-allowance cash balance</t>
        </is>
      </c>
      <c r="B9" t="str" s="7">
        <f>""</f>
        <v/>
      </c>
      <c r="C9" t="str" s="7">
        <f>""</f>
        <v/>
      </c>
      <c r="D9" t="str" s="7">
        <f>""</f>
        <v/>
      </c>
      <c r="E9" t="str" s="7">
        <f>""</f>
        <v/>
      </c>
      <c r="F9" t="str" s="7">
        <f>""</f>
        <v/>
      </c>
      <c r="G9" t="str" s="7">
        <f>""</f>
        <v/>
      </c>
      <c r="H9" t="str" s="7">
        <f>""</f>
        <v/>
      </c>
      <c r="I9" t="str" s="7">
        <f>""</f>
        <v/>
      </c>
      <c r="J9" t="str" s="7">
        <f>""</f>
        <v/>
      </c>
      <c r="K9" t="str" s="7">
        <f>""</f>
        <v/>
      </c>
      <c r="L9" t="str" s="7">
        <f>""</f>
        <v/>
      </c>
      <c r="M9" t="str" s="7">
        <f>""</f>
        <v/>
      </c>
      <c r="N9" t="str" s="7">
        <f>""</f>
        <v/>
      </c>
      <c r="O9" t="str" s="7">
        <f>""</f>
        <v/>
      </c>
      <c r="P9" t="str" s="7">
        <f>""</f>
        <v/>
      </c>
      <c r="Q9" t="str" s="7">
        <f>""</f>
        <v/>
      </c>
    </row>
    <row r="10" outlineLevel="1">
      <c r="A10" t="inlineStr" s="8">
        <is>
          <t xml:space="preserve">Bootstrapped — $0</t>
        </is>
      </c>
      <c r="B10" s="9">
        <f>IF('Model inputs'!Z121="","",'Model inputs'!Z121)</f>
        <v>0</v>
      </c>
      <c r="C10" s="9">
        <f>'Briefcase cash and runway'!B10+'Briefcase conversion and cost s'!B77</f>
        <v>-2017.999999999999</v>
      </c>
      <c r="D10" s="9">
        <f>'Briefcase cash and runway'!C10+'Model inputs'!L46</f>
        <v>-4035.999999999998</v>
      </c>
      <c r="E10" s="9">
        <f>'Briefcase cash and runway'!D10+'Model inputs'!M46</f>
        <v>-6053.999999999997</v>
      </c>
      <c r="F10" s="9">
        <f>'Briefcase cash and runway'!E10+'Model inputs'!N46</f>
        <v>-8071.999999999996</v>
      </c>
      <c r="G10" s="9">
        <f>'Briefcase cash and runway'!F10+'Model inputs'!O46</f>
        <v>-10089.999999999996</v>
      </c>
      <c r="H10" s="9">
        <f>'Briefcase cash and runway'!G10+'Model inputs'!P46</f>
        <v>-12107.999999999996</v>
      </c>
      <c r="I10" s="9">
        <f>'Briefcase cash and runway'!H10+'Model inputs'!Q46</f>
        <v>-14125.999999999996</v>
      </c>
      <c r="J10" s="9">
        <f>'Briefcase cash and runway'!I10+'Model inputs'!R46</f>
        <v>-16143.999999999996</v>
      </c>
      <c r="K10" s="9">
        <f>'Briefcase cash and runway'!J10+'Model inputs'!S46</f>
        <v>-18161.999999999996</v>
      </c>
      <c r="L10" s="9">
        <f>'Briefcase cash and runway'!K10+'Model inputs'!T46</f>
        <v>-20179.999999999996</v>
      </c>
      <c r="M10" s="9">
        <f>'Briefcase cash and runway'!L10+'Model inputs'!U46</f>
        <v>-22197.999999999996</v>
      </c>
      <c r="N10" s="9">
        <f>'Briefcase cash and runway'!M10+'Model inputs'!V46</f>
        <v>-24215.999999999996</v>
      </c>
      <c r="O10" s="9">
        <f>'Briefcase cash and runway'!N10+'Model inputs'!W46</f>
        <v>-26233.999999999996</v>
      </c>
      <c r="P10" s="9">
        <f>'Briefcase cash and runway'!O10+'Model inputs'!X46</f>
        <v>-28251.999999999996</v>
      </c>
      <c r="Q10" s="9">
        <f>'Briefcase cash and runway'!P10+'Model inputs'!Y46</f>
        <v>-30269.999999999996</v>
      </c>
    </row>
    <row r="11" outlineLevel="1">
      <c r="A11" t="inlineStr" s="8">
        <is>
          <t xml:space="preserve">Illustrative pre-seed — $25,000</t>
        </is>
      </c>
      <c r="B11" s="9">
        <f>IF('Model inputs'!Z122="","",'Model inputs'!Z122)</f>
        <v>25000</v>
      </c>
      <c r="C11" s="9">
        <f>'Briefcase cash and runway'!B11+'Briefcase conversion and cost s'!B77</f>
        <v>22982</v>
      </c>
      <c r="D11" s="9">
        <f>'Briefcase cash and runway'!C11+'Model inputs'!L46</f>
        <v>20964</v>
      </c>
      <c r="E11" s="9">
        <f>'Briefcase cash and runway'!D11+'Model inputs'!M46</f>
        <v>18946</v>
      </c>
      <c r="F11" s="9">
        <f>'Briefcase cash and runway'!E11+'Model inputs'!N46</f>
        <v>16928</v>
      </c>
      <c r="G11" s="9">
        <f>'Briefcase cash and runway'!F11+'Model inputs'!O46</f>
        <v>14910</v>
      </c>
      <c r="H11" s="9">
        <f>'Briefcase cash and runway'!G11+'Model inputs'!P46</f>
        <v>12892</v>
      </c>
      <c r="I11" s="9">
        <f>'Briefcase cash and runway'!H11+'Model inputs'!Q46</f>
        <v>10874</v>
      </c>
      <c r="J11" s="9">
        <f>'Briefcase cash and runway'!I11+'Model inputs'!R46</f>
        <v>8856</v>
      </c>
      <c r="K11" s="9">
        <f>'Briefcase cash and runway'!J11+'Model inputs'!S46</f>
        <v>6838.000000000001</v>
      </c>
      <c r="L11" s="9">
        <f>'Briefcase cash and runway'!K11+'Model inputs'!T46</f>
        <v>4820.000000000002</v>
      </c>
      <c r="M11" s="9">
        <f>'Briefcase cash and runway'!L11+'Model inputs'!U46</f>
        <v>2802.0000000000027</v>
      </c>
      <c r="N11" s="9">
        <f>'Briefcase cash and runway'!M11+'Model inputs'!V46</f>
        <v>784.0000000000036</v>
      </c>
      <c r="O11" s="9">
        <f>'Briefcase cash and runway'!N11+'Model inputs'!W46</f>
        <v>-1233.9999999999955</v>
      </c>
      <c r="P11" s="9">
        <f>'Briefcase cash and runway'!O11+'Model inputs'!X46</f>
        <v>-3251.9999999999945</v>
      </c>
      <c r="Q11" s="9">
        <f>'Briefcase cash and runway'!P11+'Model inputs'!Y46</f>
        <v>-5269.999999999994</v>
      </c>
    </row>
    <row r="12" outlineLevel="1">
      <c r="A12" t="inlineStr" s="8">
        <is>
          <t xml:space="preserve">Lean launch — $5,000</t>
        </is>
      </c>
      <c r="B12" s="9">
        <f>IF('Model inputs'!Z123="","",'Model inputs'!Z123)</f>
        <v>5000</v>
      </c>
      <c r="C12" s="9">
        <f>'Briefcase cash and runway'!B12+'Briefcase conversion and cost s'!B77</f>
        <v>2982.000000000001</v>
      </c>
      <c r="D12" s="9">
        <f>'Briefcase cash and runway'!C12+'Model inputs'!L46</f>
        <v>964.0000000000018</v>
      </c>
      <c r="E12" s="9">
        <f>'Briefcase cash and runway'!D12+'Model inputs'!M46</f>
        <v>-1053.9999999999973</v>
      </c>
      <c r="F12" s="9">
        <f>'Briefcase cash and runway'!E12+'Model inputs'!N46</f>
        <v>-3071.9999999999964</v>
      </c>
      <c r="G12" s="9">
        <f>'Briefcase cash and runway'!F12+'Model inputs'!O46</f>
        <v>-5089.999999999995</v>
      </c>
      <c r="H12" s="9">
        <f>'Briefcase cash and runway'!G12+'Model inputs'!P46</f>
        <v>-7107.9999999999945</v>
      </c>
      <c r="I12" s="9">
        <f>'Briefcase cash and runway'!H12+'Model inputs'!Q46</f>
        <v>-9125.999999999993</v>
      </c>
      <c r="J12" s="9">
        <f>'Briefcase cash and runway'!I12+'Model inputs'!R46</f>
        <v>-11143.999999999993</v>
      </c>
      <c r="K12" s="9">
        <f>'Briefcase cash and runway'!J12+'Model inputs'!S46</f>
        <v>-13161.999999999993</v>
      </c>
      <c r="L12" s="9">
        <f>'Briefcase cash and runway'!K12+'Model inputs'!T46</f>
        <v>-15179.999999999993</v>
      </c>
      <c r="M12" s="9">
        <f>'Briefcase cash and runway'!L12+'Model inputs'!U46</f>
        <v>-17197.999999999993</v>
      </c>
      <c r="N12" s="9">
        <f>'Briefcase cash and runway'!M12+'Model inputs'!V46</f>
        <v>-19215.999999999993</v>
      </c>
      <c r="O12" s="9">
        <f>'Briefcase cash and runway'!N12+'Model inputs'!W46</f>
        <v>-21233.999999999993</v>
      </c>
      <c r="P12" s="9">
        <f>'Briefcase cash and runway'!O12+'Model inputs'!X46</f>
        <v>-23251.999999999993</v>
      </c>
      <c r="Q12" s="9">
        <f>'Briefcase cash and runway'!P12+'Model inputs'!Y46</f>
        <v>-25269.999999999993</v>
      </c>
    </row>
    <row r="13">
      <c r="A13" t="inlineStr" s="6">
        <is>
          <t xml:space="preserve">Runway from launch in months</t>
        </is>
      </c>
      <c r="B13" s="10">
        <f>SUM('Briefcase cash and runway'!B14,'Briefcase cash and runway'!B15,'Briefcase cash and runway'!B16)</f>
        <v>0</v>
      </c>
      <c r="C13" t="str" s="10">
        <f>""</f>
        <v/>
      </c>
      <c r="D13" t="str" s="10">
        <f>""</f>
        <v/>
      </c>
      <c r="E13" t="str" s="10">
        <f>""</f>
        <v/>
      </c>
      <c r="F13" t="str" s="10">
        <f>""</f>
        <v/>
      </c>
      <c r="G13" t="str" s="10">
        <f>""</f>
        <v/>
      </c>
      <c r="H13" t="str" s="10">
        <f>""</f>
        <v/>
      </c>
      <c r="I13" t="str" s="10">
        <f>""</f>
        <v/>
      </c>
      <c r="J13" t="str" s="10">
        <f>""</f>
        <v/>
      </c>
      <c r="K13" t="str" s="10">
        <f>""</f>
        <v/>
      </c>
      <c r="L13" t="str" s="10">
        <f>""</f>
        <v/>
      </c>
      <c r="M13" t="str" s="10">
        <f>""</f>
        <v/>
      </c>
      <c r="N13" t="str" s="10">
        <f>""</f>
        <v/>
      </c>
      <c r="O13" t="str" s="10">
        <f>""</f>
        <v/>
      </c>
      <c r="P13" t="str" s="10">
        <f>""</f>
        <v/>
      </c>
      <c r="Q13" t="str" s="10">
        <f>""</f>
        <v/>
      </c>
    </row>
    <row r="14" outlineLevel="1">
      <c r="A14" t="inlineStr" s="8">
        <is>
          <t xml:space="preserve">Bootstrapped — $0</t>
        </is>
      </c>
      <c r="B14" s="11">
        <f>0</f>
        <v>0</v>
      </c>
      <c r="C14" t="str" s="11">
        <f>IF(IF(IF(ISERROR('Briefcase conversion and cost s'!B65&lt;0),'Briefcase conversion and cost s'!B65&lt;0,IF('Briefcase conversion and cost s'!B65="","",'Briefcase conversion and cost s'!B65&lt;0))="",FALSE,IF(ISERROR('Briefcase conversion and cost s'!B65&lt;0),'Briefcase conversion and cost s'!B65&lt;0,IF('Briefcase conversion and cost s'!B65="","",'Briefcase conversion and cost s'!B65&lt;0))),'Model inputs'!Z121/-'Briefcase conversion and cost s'!B65,"")</f>
        <v/>
      </c>
      <c r="D14" t="str" s="11">
        <f>IF(IF(IF(ISERROR('Model inputs'!L83&lt;0),'Model inputs'!L83&lt;0,IF('Model inputs'!L83="","",'Model inputs'!L83&lt;0))="",FALSE,IF(ISERROR('Model inputs'!L83&lt;0),'Model inputs'!L83&lt;0,IF('Model inputs'!L83="","",'Model inputs'!L83&lt;0))),'Model inputs'!Z121/-'Model inputs'!L83,"")</f>
        <v/>
      </c>
      <c r="E14" t="str" s="11">
        <f>IF(IF(IF(ISERROR('Model inputs'!M83&lt;0),'Model inputs'!M83&lt;0,IF('Model inputs'!M83="","",'Model inputs'!M83&lt;0))="",FALSE,IF(ISERROR('Model inputs'!M83&lt;0),'Model inputs'!M83&lt;0,IF('Model inputs'!M83="","",'Model inputs'!M83&lt;0))),'Model inputs'!Z121/-'Model inputs'!M83,"")</f>
        <v/>
      </c>
      <c r="F14" t="str" s="11">
        <f>IF(IF(IF(ISERROR('Model inputs'!N83&lt;0),'Model inputs'!N83&lt;0,IF('Model inputs'!N83="","",'Model inputs'!N83&lt;0))="",FALSE,IF(ISERROR('Model inputs'!N83&lt;0),'Model inputs'!N83&lt;0,IF('Model inputs'!N83="","",'Model inputs'!N83&lt;0))),'Model inputs'!Z121/-'Model inputs'!N83,"")</f>
        <v/>
      </c>
      <c r="G14" t="str" s="11">
        <f>IF(IF(IF(ISERROR('Model inputs'!O83&lt;0),'Model inputs'!O83&lt;0,IF('Model inputs'!O83="","",'Model inputs'!O83&lt;0))="",FALSE,IF(ISERROR('Model inputs'!O83&lt;0),'Model inputs'!O83&lt;0,IF('Model inputs'!O83="","",'Model inputs'!O83&lt;0))),'Model inputs'!Z121/-'Model inputs'!O83,"")</f>
        <v/>
      </c>
      <c r="H14" t="str" s="11">
        <f>IF(IF(IF(ISERROR('Model inputs'!P83&lt;0),'Model inputs'!P83&lt;0,IF('Model inputs'!P83="","",'Model inputs'!P83&lt;0))="",FALSE,IF(ISERROR('Model inputs'!P83&lt;0),'Model inputs'!P83&lt;0,IF('Model inputs'!P83="","",'Model inputs'!P83&lt;0))),'Model inputs'!Z121/-'Model inputs'!P83,"")</f>
        <v/>
      </c>
      <c r="I14" t="str" s="11">
        <f>IF(IF(IF(ISERROR('Model inputs'!Q83&lt;0),'Model inputs'!Q83&lt;0,IF('Model inputs'!Q83="","",'Model inputs'!Q83&lt;0))="",FALSE,IF(ISERROR('Model inputs'!Q83&lt;0),'Model inputs'!Q83&lt;0,IF('Model inputs'!Q83="","",'Model inputs'!Q83&lt;0))),'Model inputs'!Z121/-'Model inputs'!Q83,"")</f>
        <v/>
      </c>
      <c r="J14" t="str" s="11">
        <f>IF(IF(IF(ISERROR('Model inputs'!R83&lt;0),'Model inputs'!R83&lt;0,IF('Model inputs'!R83="","",'Model inputs'!R83&lt;0))="",FALSE,IF(ISERROR('Model inputs'!R83&lt;0),'Model inputs'!R83&lt;0,IF('Model inputs'!R83="","",'Model inputs'!R83&lt;0))),'Model inputs'!Z121/-'Model inputs'!R83,"")</f>
        <v/>
      </c>
      <c r="K14" t="str" s="11">
        <f>IF(IF(IF(ISERROR('Model inputs'!S83&lt;0),'Model inputs'!S83&lt;0,IF('Model inputs'!S83="","",'Model inputs'!S83&lt;0))="",FALSE,IF(ISERROR('Model inputs'!S83&lt;0),'Model inputs'!S83&lt;0,IF('Model inputs'!S83="","",'Model inputs'!S83&lt;0))),'Model inputs'!Z121/-'Model inputs'!S83,"")</f>
        <v/>
      </c>
      <c r="L14" t="str" s="11">
        <f>IF(IF(IF(ISERROR('Model inputs'!T83&lt;0),'Model inputs'!T83&lt;0,IF('Model inputs'!T83="","",'Model inputs'!T83&lt;0))="",FALSE,IF(ISERROR('Model inputs'!T83&lt;0),'Model inputs'!T83&lt;0,IF('Model inputs'!T83="","",'Model inputs'!T83&lt;0))),'Model inputs'!Z121/-'Model inputs'!T83,"")</f>
        <v/>
      </c>
      <c r="M14" t="str" s="11">
        <f>IF(IF(IF(ISERROR('Model inputs'!U83&lt;0),'Model inputs'!U83&lt;0,IF('Model inputs'!U83="","",'Model inputs'!U83&lt;0))="",FALSE,IF(ISERROR('Model inputs'!U83&lt;0),'Model inputs'!U83&lt;0,IF('Model inputs'!U83="","",'Model inputs'!U83&lt;0))),'Model inputs'!Z121/-'Model inputs'!U83,"")</f>
        <v/>
      </c>
      <c r="N14" t="str" s="11">
        <f>IF(IF(IF(ISERROR('Model inputs'!V83&lt;0),'Model inputs'!V83&lt;0,IF('Model inputs'!V83="","",'Model inputs'!V83&lt;0))="",FALSE,IF(ISERROR('Model inputs'!V83&lt;0),'Model inputs'!V83&lt;0,IF('Model inputs'!V83="","",'Model inputs'!V83&lt;0))),'Model inputs'!Z121/-'Model inputs'!V83,"")</f>
        <v/>
      </c>
      <c r="O14" t="str" s="11">
        <f>IF(IF(IF(ISERROR('Model inputs'!W83&lt;0),'Model inputs'!W83&lt;0,IF('Model inputs'!W83="","",'Model inputs'!W83&lt;0))="",FALSE,IF(ISERROR('Model inputs'!W83&lt;0),'Model inputs'!W83&lt;0,IF('Model inputs'!W83="","",'Model inputs'!W83&lt;0))),'Model inputs'!Z121/-'Model inputs'!W83,"")</f>
        <v/>
      </c>
      <c r="P14" t="str" s="11">
        <f>IF(IF(IF(ISERROR('Model inputs'!X83&lt;0),'Model inputs'!X83&lt;0,IF('Model inputs'!X83="","",'Model inputs'!X83&lt;0))="",FALSE,IF(ISERROR('Model inputs'!X83&lt;0),'Model inputs'!X83&lt;0,IF('Model inputs'!X83="","",'Model inputs'!X83&lt;0))),'Model inputs'!Z121/-'Model inputs'!X83,"")</f>
        <v/>
      </c>
      <c r="Q14" t="str" s="11">
        <f>IF(IF(IF(ISERROR('Model inputs'!Y83&lt;0),'Model inputs'!Y83&lt;0,IF('Model inputs'!Y83="","",'Model inputs'!Y83&lt;0))="",FALSE,IF(ISERROR('Model inputs'!Y83&lt;0),'Model inputs'!Y83&lt;0,IF('Model inputs'!Y83="","",'Model inputs'!Y83&lt;0))),'Model inputs'!Z121/-'Model inputs'!Y83,"")</f>
        <v/>
      </c>
    </row>
    <row r="15" outlineLevel="1">
      <c r="A15" t="inlineStr" s="8">
        <is>
          <t xml:space="preserve">Illustrative pre-seed — $25,000</t>
        </is>
      </c>
      <c r="B15" s="11">
        <f>0</f>
        <v>0</v>
      </c>
      <c r="C15" t="str" s="11">
        <f>IF(IF(IF(ISERROR('Briefcase conversion and cost s'!B65&lt;0),'Briefcase conversion and cost s'!B65&lt;0,IF('Briefcase conversion and cost s'!B65="","",'Briefcase conversion and cost s'!B65&lt;0))="",FALSE,IF(ISERROR('Briefcase conversion and cost s'!B65&lt;0),'Briefcase conversion and cost s'!B65&lt;0,IF('Briefcase conversion and cost s'!B65="","",'Briefcase conversion and cost s'!B65&lt;0))),'Model inputs'!Z122/-'Briefcase conversion and cost s'!B65,"")</f>
        <v/>
      </c>
      <c r="D15" t="str" s="11">
        <f>IF(IF(IF(ISERROR('Model inputs'!L83&lt;0),'Model inputs'!L83&lt;0,IF('Model inputs'!L83="","",'Model inputs'!L83&lt;0))="",FALSE,IF(ISERROR('Model inputs'!L83&lt;0),'Model inputs'!L83&lt;0,IF('Model inputs'!L83="","",'Model inputs'!L83&lt;0))),'Model inputs'!Z122/-'Model inputs'!L83,"")</f>
        <v/>
      </c>
      <c r="E15" t="str" s="11">
        <f>IF(IF(IF(ISERROR('Model inputs'!M83&lt;0),'Model inputs'!M83&lt;0,IF('Model inputs'!M83="","",'Model inputs'!M83&lt;0))="",FALSE,IF(ISERROR('Model inputs'!M83&lt;0),'Model inputs'!M83&lt;0,IF('Model inputs'!M83="","",'Model inputs'!M83&lt;0))),'Model inputs'!Z122/-'Model inputs'!M83,"")</f>
        <v/>
      </c>
      <c r="F15" t="str" s="11">
        <f>IF(IF(IF(ISERROR('Model inputs'!N83&lt;0),'Model inputs'!N83&lt;0,IF('Model inputs'!N83="","",'Model inputs'!N83&lt;0))="",FALSE,IF(ISERROR('Model inputs'!N83&lt;0),'Model inputs'!N83&lt;0,IF('Model inputs'!N83="","",'Model inputs'!N83&lt;0))),'Model inputs'!Z122/-'Model inputs'!N83,"")</f>
        <v/>
      </c>
      <c r="G15" t="str" s="11">
        <f>IF(IF(IF(ISERROR('Model inputs'!O83&lt;0),'Model inputs'!O83&lt;0,IF('Model inputs'!O83="","",'Model inputs'!O83&lt;0))="",FALSE,IF(ISERROR('Model inputs'!O83&lt;0),'Model inputs'!O83&lt;0,IF('Model inputs'!O83="","",'Model inputs'!O83&lt;0))),'Model inputs'!Z122/-'Model inputs'!O83,"")</f>
        <v/>
      </c>
      <c r="H15" t="str" s="11">
        <f>IF(IF(IF(ISERROR('Model inputs'!P83&lt;0),'Model inputs'!P83&lt;0,IF('Model inputs'!P83="","",'Model inputs'!P83&lt;0))="",FALSE,IF(ISERROR('Model inputs'!P83&lt;0),'Model inputs'!P83&lt;0,IF('Model inputs'!P83="","",'Model inputs'!P83&lt;0))),'Model inputs'!Z122/-'Model inputs'!P83,"")</f>
        <v/>
      </c>
      <c r="I15" t="str" s="11">
        <f>IF(IF(IF(ISERROR('Model inputs'!Q83&lt;0),'Model inputs'!Q83&lt;0,IF('Model inputs'!Q83="","",'Model inputs'!Q83&lt;0))="",FALSE,IF(ISERROR('Model inputs'!Q83&lt;0),'Model inputs'!Q83&lt;0,IF('Model inputs'!Q83="","",'Model inputs'!Q83&lt;0))),'Model inputs'!Z122/-'Model inputs'!Q83,"")</f>
        <v/>
      </c>
      <c r="J15" t="str" s="11">
        <f>IF(IF(IF(ISERROR('Model inputs'!R83&lt;0),'Model inputs'!R83&lt;0,IF('Model inputs'!R83="","",'Model inputs'!R83&lt;0))="",FALSE,IF(ISERROR('Model inputs'!R83&lt;0),'Model inputs'!R83&lt;0,IF('Model inputs'!R83="","",'Model inputs'!R83&lt;0))),'Model inputs'!Z122/-'Model inputs'!R83,"")</f>
        <v/>
      </c>
      <c r="K15" t="str" s="11">
        <f>IF(IF(IF(ISERROR('Model inputs'!S83&lt;0),'Model inputs'!S83&lt;0,IF('Model inputs'!S83="","",'Model inputs'!S83&lt;0))="",FALSE,IF(ISERROR('Model inputs'!S83&lt;0),'Model inputs'!S83&lt;0,IF('Model inputs'!S83="","",'Model inputs'!S83&lt;0))),'Model inputs'!Z122/-'Model inputs'!S83,"")</f>
        <v/>
      </c>
      <c r="L15" t="str" s="11">
        <f>IF(IF(IF(ISERROR('Model inputs'!T83&lt;0),'Model inputs'!T83&lt;0,IF('Model inputs'!T83="","",'Model inputs'!T83&lt;0))="",FALSE,IF(ISERROR('Model inputs'!T83&lt;0),'Model inputs'!T83&lt;0,IF('Model inputs'!T83="","",'Model inputs'!T83&lt;0))),'Model inputs'!Z122/-'Model inputs'!T83,"")</f>
        <v/>
      </c>
      <c r="M15" t="str" s="11">
        <f>IF(IF(IF(ISERROR('Model inputs'!U83&lt;0),'Model inputs'!U83&lt;0,IF('Model inputs'!U83="","",'Model inputs'!U83&lt;0))="",FALSE,IF(ISERROR('Model inputs'!U83&lt;0),'Model inputs'!U83&lt;0,IF('Model inputs'!U83="","",'Model inputs'!U83&lt;0))),'Model inputs'!Z122/-'Model inputs'!U83,"")</f>
        <v/>
      </c>
      <c r="N15" t="str" s="11">
        <f>IF(IF(IF(ISERROR('Model inputs'!V83&lt;0),'Model inputs'!V83&lt;0,IF('Model inputs'!V83="","",'Model inputs'!V83&lt;0))="",FALSE,IF(ISERROR('Model inputs'!V83&lt;0),'Model inputs'!V83&lt;0,IF('Model inputs'!V83="","",'Model inputs'!V83&lt;0))),'Model inputs'!Z122/-'Model inputs'!V83,"")</f>
        <v/>
      </c>
      <c r="O15" t="str" s="11">
        <f>IF(IF(IF(ISERROR('Model inputs'!W83&lt;0),'Model inputs'!W83&lt;0,IF('Model inputs'!W83="","",'Model inputs'!W83&lt;0))="",FALSE,IF(ISERROR('Model inputs'!W83&lt;0),'Model inputs'!W83&lt;0,IF('Model inputs'!W83="","",'Model inputs'!W83&lt;0))),'Model inputs'!Z122/-'Model inputs'!W83,"")</f>
        <v/>
      </c>
      <c r="P15" t="str" s="11">
        <f>IF(IF(IF(ISERROR('Model inputs'!X83&lt;0),'Model inputs'!X83&lt;0,IF('Model inputs'!X83="","",'Model inputs'!X83&lt;0))="",FALSE,IF(ISERROR('Model inputs'!X83&lt;0),'Model inputs'!X83&lt;0,IF('Model inputs'!X83="","",'Model inputs'!X83&lt;0))),'Model inputs'!Z122/-'Model inputs'!X83,"")</f>
        <v/>
      </c>
      <c r="Q15" t="str" s="11">
        <f>IF(IF(IF(ISERROR('Model inputs'!Y83&lt;0),'Model inputs'!Y83&lt;0,IF('Model inputs'!Y83="","",'Model inputs'!Y83&lt;0))="",FALSE,IF(ISERROR('Model inputs'!Y83&lt;0),'Model inputs'!Y83&lt;0,IF('Model inputs'!Y83="","",'Model inputs'!Y83&lt;0))),'Model inputs'!Z122/-'Model inputs'!Y83,"")</f>
        <v/>
      </c>
    </row>
    <row r="16" outlineLevel="1">
      <c r="A16" t="inlineStr" s="8">
        <is>
          <t xml:space="preserve">Lean launch — $5,000</t>
        </is>
      </c>
      <c r="B16" s="11">
        <f>0</f>
        <v>0</v>
      </c>
      <c r="C16" t="str" s="11">
        <f>IF(IF(IF(ISERROR('Briefcase conversion and cost s'!B65&lt;0),'Briefcase conversion and cost s'!B65&lt;0,IF('Briefcase conversion and cost s'!B65="","",'Briefcase conversion and cost s'!B65&lt;0))="",FALSE,IF(ISERROR('Briefcase conversion and cost s'!B65&lt;0),'Briefcase conversion and cost s'!B65&lt;0,IF('Briefcase conversion and cost s'!B65="","",'Briefcase conversion and cost s'!B65&lt;0))),'Model inputs'!Z123/-'Briefcase conversion and cost s'!B65,"")</f>
        <v/>
      </c>
      <c r="D16" t="str" s="11">
        <f>IF(IF(IF(ISERROR('Model inputs'!L83&lt;0),'Model inputs'!L83&lt;0,IF('Model inputs'!L83="","",'Model inputs'!L83&lt;0))="",FALSE,IF(ISERROR('Model inputs'!L83&lt;0),'Model inputs'!L83&lt;0,IF('Model inputs'!L83="","",'Model inputs'!L83&lt;0))),'Model inputs'!Z123/-'Model inputs'!L83,"")</f>
        <v/>
      </c>
      <c r="E16" t="str" s="11">
        <f>IF(IF(IF(ISERROR('Model inputs'!M83&lt;0),'Model inputs'!M83&lt;0,IF('Model inputs'!M83="","",'Model inputs'!M83&lt;0))="",FALSE,IF(ISERROR('Model inputs'!M83&lt;0),'Model inputs'!M83&lt;0,IF('Model inputs'!M83="","",'Model inputs'!M83&lt;0))),'Model inputs'!Z123/-'Model inputs'!M83,"")</f>
        <v/>
      </c>
      <c r="F16" t="str" s="11">
        <f>IF(IF(IF(ISERROR('Model inputs'!N83&lt;0),'Model inputs'!N83&lt;0,IF('Model inputs'!N83="","",'Model inputs'!N83&lt;0))="",FALSE,IF(ISERROR('Model inputs'!N83&lt;0),'Model inputs'!N83&lt;0,IF('Model inputs'!N83="","",'Model inputs'!N83&lt;0))),'Model inputs'!Z123/-'Model inputs'!N83,"")</f>
        <v/>
      </c>
      <c r="G16" t="str" s="11">
        <f>IF(IF(IF(ISERROR('Model inputs'!O83&lt;0),'Model inputs'!O83&lt;0,IF('Model inputs'!O83="","",'Model inputs'!O83&lt;0))="",FALSE,IF(ISERROR('Model inputs'!O83&lt;0),'Model inputs'!O83&lt;0,IF('Model inputs'!O83="","",'Model inputs'!O83&lt;0))),'Model inputs'!Z123/-'Model inputs'!O83,"")</f>
        <v/>
      </c>
      <c r="H16" t="str" s="11">
        <f>IF(IF(IF(ISERROR('Model inputs'!P83&lt;0),'Model inputs'!P83&lt;0,IF('Model inputs'!P83="","",'Model inputs'!P83&lt;0))="",FALSE,IF(ISERROR('Model inputs'!P83&lt;0),'Model inputs'!P83&lt;0,IF('Model inputs'!P83="","",'Model inputs'!P83&lt;0))),'Model inputs'!Z123/-'Model inputs'!P83,"")</f>
        <v/>
      </c>
      <c r="I16" t="str" s="11">
        <f>IF(IF(IF(ISERROR('Model inputs'!Q83&lt;0),'Model inputs'!Q83&lt;0,IF('Model inputs'!Q83="","",'Model inputs'!Q83&lt;0))="",FALSE,IF(ISERROR('Model inputs'!Q83&lt;0),'Model inputs'!Q83&lt;0,IF('Model inputs'!Q83="","",'Model inputs'!Q83&lt;0))),'Model inputs'!Z123/-'Model inputs'!Q83,"")</f>
        <v/>
      </c>
      <c r="J16" t="str" s="11">
        <f>IF(IF(IF(ISERROR('Model inputs'!R83&lt;0),'Model inputs'!R83&lt;0,IF('Model inputs'!R83="","",'Model inputs'!R83&lt;0))="",FALSE,IF(ISERROR('Model inputs'!R83&lt;0),'Model inputs'!R83&lt;0,IF('Model inputs'!R83="","",'Model inputs'!R83&lt;0))),'Model inputs'!Z123/-'Model inputs'!R83,"")</f>
        <v/>
      </c>
      <c r="K16" t="str" s="11">
        <f>IF(IF(IF(ISERROR('Model inputs'!S83&lt;0),'Model inputs'!S83&lt;0,IF('Model inputs'!S83="","",'Model inputs'!S83&lt;0))="",FALSE,IF(ISERROR('Model inputs'!S83&lt;0),'Model inputs'!S83&lt;0,IF('Model inputs'!S83="","",'Model inputs'!S83&lt;0))),'Model inputs'!Z123/-'Model inputs'!S83,"")</f>
        <v/>
      </c>
      <c r="L16" t="str" s="11">
        <f>IF(IF(IF(ISERROR('Model inputs'!T83&lt;0),'Model inputs'!T83&lt;0,IF('Model inputs'!T83="","",'Model inputs'!T83&lt;0))="",FALSE,IF(ISERROR('Model inputs'!T83&lt;0),'Model inputs'!T83&lt;0,IF('Model inputs'!T83="","",'Model inputs'!T83&lt;0))),'Model inputs'!Z123/-'Model inputs'!T83,"")</f>
        <v/>
      </c>
      <c r="M16" t="str" s="11">
        <f>IF(IF(IF(ISERROR('Model inputs'!U83&lt;0),'Model inputs'!U83&lt;0,IF('Model inputs'!U83="","",'Model inputs'!U83&lt;0))="",FALSE,IF(ISERROR('Model inputs'!U83&lt;0),'Model inputs'!U83&lt;0,IF('Model inputs'!U83="","",'Model inputs'!U83&lt;0))),'Model inputs'!Z123/-'Model inputs'!U83,"")</f>
        <v/>
      </c>
      <c r="N16" t="str" s="11">
        <f>IF(IF(IF(ISERROR('Model inputs'!V83&lt;0),'Model inputs'!V83&lt;0,IF('Model inputs'!V83="","",'Model inputs'!V83&lt;0))="",FALSE,IF(ISERROR('Model inputs'!V83&lt;0),'Model inputs'!V83&lt;0,IF('Model inputs'!V83="","",'Model inputs'!V83&lt;0))),'Model inputs'!Z123/-'Model inputs'!V83,"")</f>
        <v/>
      </c>
      <c r="O16" t="str" s="11">
        <f>IF(IF(IF(ISERROR('Model inputs'!W83&lt;0),'Model inputs'!W83&lt;0,IF('Model inputs'!W83="","",'Model inputs'!W83&lt;0))="",FALSE,IF(ISERROR('Model inputs'!W83&lt;0),'Model inputs'!W83&lt;0,IF('Model inputs'!W83="","",'Model inputs'!W83&lt;0))),'Model inputs'!Z123/-'Model inputs'!W83,"")</f>
        <v/>
      </c>
      <c r="P16" t="str" s="11">
        <f>IF(IF(IF(ISERROR('Model inputs'!X83&lt;0),'Model inputs'!X83&lt;0,IF('Model inputs'!X83="","",'Model inputs'!X83&lt;0))="",FALSE,IF(ISERROR('Model inputs'!X83&lt;0),'Model inputs'!X83&lt;0,IF('Model inputs'!X83="","",'Model inputs'!X83&lt;0))),'Model inputs'!Z123/-'Model inputs'!X83,"")</f>
        <v/>
      </c>
      <c r="Q16" t="str" s="11">
        <f>IF(IF(IF(ISERROR('Model inputs'!Y83&lt;0),'Model inputs'!Y83&lt;0,IF('Model inputs'!Y83="","",'Model inputs'!Y83&lt;0))="",FALSE,IF(ISERROR('Model inputs'!Y83&lt;0),'Model inputs'!Y83&lt;0,IF('Model inputs'!Y83="","",'Model inputs'!Y83&lt;0))),'Model inputs'!Z123/-'Model inputs'!Y83,"")</f>
        <v/>
      </c>
    </row>
    <row r="17">
      <c r="A17" t="inlineStr" s="6">
        <is>
          <t xml:space="preserve">Full-allowance runway in months</t>
        </is>
      </c>
      <c r="B17" s="10">
        <f>SUM('Briefcase cash and runway'!B18,'Briefcase cash and runway'!B19,'Briefcase cash and runway'!B20)</f>
        <v>0</v>
      </c>
      <c r="C17" t="str" s="10">
        <f>""</f>
        <v/>
      </c>
      <c r="D17" t="str" s="10">
        <f>""</f>
        <v/>
      </c>
      <c r="E17" t="str" s="10">
        <f>""</f>
        <v/>
      </c>
      <c r="F17" t="str" s="10">
        <f>""</f>
        <v/>
      </c>
      <c r="G17" t="str" s="10">
        <f>""</f>
        <v/>
      </c>
      <c r="H17" t="str" s="10">
        <f>""</f>
        <v/>
      </c>
      <c r="I17" t="str" s="10">
        <f>""</f>
        <v/>
      </c>
      <c r="J17" t="str" s="10">
        <f>""</f>
        <v/>
      </c>
      <c r="K17" t="str" s="10">
        <f>""</f>
        <v/>
      </c>
      <c r="L17" t="str" s="10">
        <f>""</f>
        <v/>
      </c>
      <c r="M17" t="str" s="10">
        <f>""</f>
        <v/>
      </c>
      <c r="N17" t="str" s="10">
        <f>""</f>
        <v/>
      </c>
      <c r="O17" t="str" s="10">
        <f>""</f>
        <v/>
      </c>
      <c r="P17" t="str" s="10">
        <f>""</f>
        <v/>
      </c>
      <c r="Q17" t="str" s="10">
        <f>""</f>
        <v/>
      </c>
    </row>
    <row r="18" outlineLevel="1">
      <c r="A18" t="inlineStr" s="8">
        <is>
          <t xml:space="preserve">Bootstrapped — $0</t>
        </is>
      </c>
      <c r="B18" s="11">
        <f>0</f>
        <v>0</v>
      </c>
      <c r="C18" s="11">
        <f>IF(IF(IF(ISERROR('Briefcase conversion and cost s'!B77&lt;0),'Briefcase conversion and cost s'!B77&lt;0,IF('Briefcase conversion and cost s'!B77="","",'Briefcase conversion and cost s'!B77&lt;0))="",FALSE,IF(ISERROR('Briefcase conversion and cost s'!B77&lt;0),'Briefcase conversion and cost s'!B77&lt;0,IF('Briefcase conversion and cost s'!B77="","",'Briefcase conversion and cost s'!B77&lt;0))),'Model inputs'!Z121/-'Briefcase conversion and cost s'!B77,"")</f>
        <v>0</v>
      </c>
      <c r="D18" s="11">
        <f>IF(IF(IF(ISERROR('Model inputs'!L46&lt;0),'Model inputs'!L46&lt;0,IF('Model inputs'!L46="","",'Model inputs'!L46&lt;0))="",FALSE,IF(ISERROR('Model inputs'!L46&lt;0),'Model inputs'!L46&lt;0,IF('Model inputs'!L46="","",'Model inputs'!L46&lt;0))),'Model inputs'!Z121/-'Model inputs'!L46,"")</f>
        <v>0</v>
      </c>
      <c r="E18" s="11">
        <f>IF(IF(IF(ISERROR('Model inputs'!M46&lt;0),'Model inputs'!M46&lt;0,IF('Model inputs'!M46="","",'Model inputs'!M46&lt;0))="",FALSE,IF(ISERROR('Model inputs'!M46&lt;0),'Model inputs'!M46&lt;0,IF('Model inputs'!M46="","",'Model inputs'!M46&lt;0))),'Model inputs'!Z121/-'Model inputs'!M46,"")</f>
        <v>0</v>
      </c>
      <c r="F18" s="11">
        <f>IF(IF(IF(ISERROR('Model inputs'!N46&lt;0),'Model inputs'!N46&lt;0,IF('Model inputs'!N46="","",'Model inputs'!N46&lt;0))="",FALSE,IF(ISERROR('Model inputs'!N46&lt;0),'Model inputs'!N46&lt;0,IF('Model inputs'!N46="","",'Model inputs'!N46&lt;0))),'Model inputs'!Z121/-'Model inputs'!N46,"")</f>
        <v>0</v>
      </c>
      <c r="G18" s="11">
        <f>IF(IF(IF(ISERROR('Model inputs'!O46&lt;0),'Model inputs'!O46&lt;0,IF('Model inputs'!O46="","",'Model inputs'!O46&lt;0))="",FALSE,IF(ISERROR('Model inputs'!O46&lt;0),'Model inputs'!O46&lt;0,IF('Model inputs'!O46="","",'Model inputs'!O46&lt;0))),'Model inputs'!Z121/-'Model inputs'!O46,"")</f>
        <v>0</v>
      </c>
      <c r="H18" s="11">
        <f>IF(IF(IF(ISERROR('Model inputs'!P46&lt;0),'Model inputs'!P46&lt;0,IF('Model inputs'!P46="","",'Model inputs'!P46&lt;0))="",FALSE,IF(ISERROR('Model inputs'!P46&lt;0),'Model inputs'!P46&lt;0,IF('Model inputs'!P46="","",'Model inputs'!P46&lt;0))),'Model inputs'!Z121/-'Model inputs'!P46,"")</f>
        <v>0</v>
      </c>
      <c r="I18" s="11">
        <f>IF(IF(IF(ISERROR('Model inputs'!Q46&lt;0),'Model inputs'!Q46&lt;0,IF('Model inputs'!Q46="","",'Model inputs'!Q46&lt;0))="",FALSE,IF(ISERROR('Model inputs'!Q46&lt;0),'Model inputs'!Q46&lt;0,IF('Model inputs'!Q46="","",'Model inputs'!Q46&lt;0))),'Model inputs'!Z121/-'Model inputs'!Q46,"")</f>
        <v>0</v>
      </c>
      <c r="J18" s="11">
        <f>IF(IF(IF(ISERROR('Model inputs'!R46&lt;0),'Model inputs'!R46&lt;0,IF('Model inputs'!R46="","",'Model inputs'!R46&lt;0))="",FALSE,IF(ISERROR('Model inputs'!R46&lt;0),'Model inputs'!R46&lt;0,IF('Model inputs'!R46="","",'Model inputs'!R46&lt;0))),'Model inputs'!Z121/-'Model inputs'!R46,"")</f>
        <v>0</v>
      </c>
      <c r="K18" s="11">
        <f>IF(IF(IF(ISERROR('Model inputs'!S46&lt;0),'Model inputs'!S46&lt;0,IF('Model inputs'!S46="","",'Model inputs'!S46&lt;0))="",FALSE,IF(ISERROR('Model inputs'!S46&lt;0),'Model inputs'!S46&lt;0,IF('Model inputs'!S46="","",'Model inputs'!S46&lt;0))),'Model inputs'!Z121/-'Model inputs'!S46,"")</f>
        <v>0</v>
      </c>
      <c r="L18" s="11">
        <f>IF(IF(IF(ISERROR('Model inputs'!T46&lt;0),'Model inputs'!T46&lt;0,IF('Model inputs'!T46="","",'Model inputs'!T46&lt;0))="",FALSE,IF(ISERROR('Model inputs'!T46&lt;0),'Model inputs'!T46&lt;0,IF('Model inputs'!T46="","",'Model inputs'!T46&lt;0))),'Model inputs'!Z121/-'Model inputs'!T46,"")</f>
        <v>0</v>
      </c>
      <c r="M18" s="11">
        <f>IF(IF(IF(ISERROR('Model inputs'!U46&lt;0),'Model inputs'!U46&lt;0,IF('Model inputs'!U46="","",'Model inputs'!U46&lt;0))="",FALSE,IF(ISERROR('Model inputs'!U46&lt;0),'Model inputs'!U46&lt;0,IF('Model inputs'!U46="","",'Model inputs'!U46&lt;0))),'Model inputs'!Z121/-'Model inputs'!U46,"")</f>
        <v>0</v>
      </c>
      <c r="N18" s="11">
        <f>IF(IF(IF(ISERROR('Model inputs'!V46&lt;0),'Model inputs'!V46&lt;0,IF('Model inputs'!V46="","",'Model inputs'!V46&lt;0))="",FALSE,IF(ISERROR('Model inputs'!V46&lt;0),'Model inputs'!V46&lt;0,IF('Model inputs'!V46="","",'Model inputs'!V46&lt;0))),'Model inputs'!Z121/-'Model inputs'!V46,"")</f>
        <v>0</v>
      </c>
      <c r="O18" s="11">
        <f>IF(IF(IF(ISERROR('Model inputs'!W46&lt;0),'Model inputs'!W46&lt;0,IF('Model inputs'!W46="","",'Model inputs'!W46&lt;0))="",FALSE,IF(ISERROR('Model inputs'!W46&lt;0),'Model inputs'!W46&lt;0,IF('Model inputs'!W46="","",'Model inputs'!W46&lt;0))),'Model inputs'!Z121/-'Model inputs'!W46,"")</f>
        <v>0</v>
      </c>
      <c r="P18" s="11">
        <f>IF(IF(IF(ISERROR('Model inputs'!X46&lt;0),'Model inputs'!X46&lt;0,IF('Model inputs'!X46="","",'Model inputs'!X46&lt;0))="",FALSE,IF(ISERROR('Model inputs'!X46&lt;0),'Model inputs'!X46&lt;0,IF('Model inputs'!X46="","",'Model inputs'!X46&lt;0))),'Model inputs'!Z121/-'Model inputs'!X46,"")</f>
        <v>0</v>
      </c>
      <c r="Q18" s="11">
        <f>IF(IF(IF(ISERROR('Model inputs'!Y46&lt;0),'Model inputs'!Y46&lt;0,IF('Model inputs'!Y46="","",'Model inputs'!Y46&lt;0))="",FALSE,IF(ISERROR('Model inputs'!Y46&lt;0),'Model inputs'!Y46&lt;0,IF('Model inputs'!Y46="","",'Model inputs'!Y46&lt;0))),'Model inputs'!Z121/-'Model inputs'!Y46,"")</f>
        <v>0</v>
      </c>
    </row>
    <row r="19" outlineLevel="1">
      <c r="A19" t="inlineStr" s="8">
        <is>
          <t xml:space="preserve">Illustrative pre-seed — $25,000</t>
        </is>
      </c>
      <c r="B19" s="11">
        <f>0</f>
        <v>0</v>
      </c>
      <c r="C19" s="11">
        <f>IF(IF(IF(ISERROR('Briefcase conversion and cost s'!B77&lt;0),'Briefcase conversion and cost s'!B77&lt;0,IF('Briefcase conversion and cost s'!B77="","",'Briefcase conversion and cost s'!B77&lt;0))="",FALSE,IF(ISERROR('Briefcase conversion and cost s'!B77&lt;0),'Briefcase conversion and cost s'!B77&lt;0,IF('Briefcase conversion and cost s'!B77="","",'Briefcase conversion and cost s'!B77&lt;0))),'Model inputs'!Z122/-'Briefcase conversion and cost s'!B77,"")</f>
        <v>12.388503468780977</v>
      </c>
      <c r="D19" s="11">
        <f>IF(IF(IF(ISERROR('Model inputs'!L46&lt;0),'Model inputs'!L46&lt;0,IF('Model inputs'!L46="","",'Model inputs'!L46&lt;0))="",FALSE,IF(ISERROR('Model inputs'!L46&lt;0),'Model inputs'!L46&lt;0,IF('Model inputs'!L46="","",'Model inputs'!L46&lt;0))),'Model inputs'!Z122/-'Model inputs'!L46,"")</f>
        <v>12.388503468780977</v>
      </c>
      <c r="E19" s="11">
        <f>IF(IF(IF(ISERROR('Model inputs'!M46&lt;0),'Model inputs'!M46&lt;0,IF('Model inputs'!M46="","",'Model inputs'!M46&lt;0))="",FALSE,IF(ISERROR('Model inputs'!M46&lt;0),'Model inputs'!M46&lt;0,IF('Model inputs'!M46="","",'Model inputs'!M46&lt;0))),'Model inputs'!Z122/-'Model inputs'!M46,"")</f>
        <v>12.388503468780977</v>
      </c>
      <c r="F19" s="11">
        <f>IF(IF(IF(ISERROR('Model inputs'!N46&lt;0),'Model inputs'!N46&lt;0,IF('Model inputs'!N46="","",'Model inputs'!N46&lt;0))="",FALSE,IF(ISERROR('Model inputs'!N46&lt;0),'Model inputs'!N46&lt;0,IF('Model inputs'!N46="","",'Model inputs'!N46&lt;0))),'Model inputs'!Z122/-'Model inputs'!N46,"")</f>
        <v>12.388503468780977</v>
      </c>
      <c r="G19" s="11">
        <f>IF(IF(IF(ISERROR('Model inputs'!O46&lt;0),'Model inputs'!O46&lt;0,IF('Model inputs'!O46="","",'Model inputs'!O46&lt;0))="",FALSE,IF(ISERROR('Model inputs'!O46&lt;0),'Model inputs'!O46&lt;0,IF('Model inputs'!O46="","",'Model inputs'!O46&lt;0))),'Model inputs'!Z122/-'Model inputs'!O46,"")</f>
        <v>12.388503468780977</v>
      </c>
      <c r="H19" s="11">
        <f>IF(IF(IF(ISERROR('Model inputs'!P46&lt;0),'Model inputs'!P46&lt;0,IF('Model inputs'!P46="","",'Model inputs'!P46&lt;0))="",FALSE,IF(ISERROR('Model inputs'!P46&lt;0),'Model inputs'!P46&lt;0,IF('Model inputs'!P46="","",'Model inputs'!P46&lt;0))),'Model inputs'!Z122/-'Model inputs'!P46,"")</f>
        <v>12.388503468780977</v>
      </c>
      <c r="I19" s="11">
        <f>IF(IF(IF(ISERROR('Model inputs'!Q46&lt;0),'Model inputs'!Q46&lt;0,IF('Model inputs'!Q46="","",'Model inputs'!Q46&lt;0))="",FALSE,IF(ISERROR('Model inputs'!Q46&lt;0),'Model inputs'!Q46&lt;0,IF('Model inputs'!Q46="","",'Model inputs'!Q46&lt;0))),'Model inputs'!Z122/-'Model inputs'!Q46,"")</f>
        <v>12.388503468780977</v>
      </c>
      <c r="J19" s="11">
        <f>IF(IF(IF(ISERROR('Model inputs'!R46&lt;0),'Model inputs'!R46&lt;0,IF('Model inputs'!R46="","",'Model inputs'!R46&lt;0))="",FALSE,IF(ISERROR('Model inputs'!R46&lt;0),'Model inputs'!R46&lt;0,IF('Model inputs'!R46="","",'Model inputs'!R46&lt;0))),'Model inputs'!Z122/-'Model inputs'!R46,"")</f>
        <v>12.388503468780977</v>
      </c>
      <c r="K19" s="11">
        <f>IF(IF(IF(ISERROR('Model inputs'!S46&lt;0),'Model inputs'!S46&lt;0,IF('Model inputs'!S46="","",'Model inputs'!S46&lt;0))="",FALSE,IF(ISERROR('Model inputs'!S46&lt;0),'Model inputs'!S46&lt;0,IF('Model inputs'!S46="","",'Model inputs'!S46&lt;0))),'Model inputs'!Z122/-'Model inputs'!S46,"")</f>
        <v>12.388503468780977</v>
      </c>
      <c r="L19" s="11">
        <f>IF(IF(IF(ISERROR('Model inputs'!T46&lt;0),'Model inputs'!T46&lt;0,IF('Model inputs'!T46="","",'Model inputs'!T46&lt;0))="",FALSE,IF(ISERROR('Model inputs'!T46&lt;0),'Model inputs'!T46&lt;0,IF('Model inputs'!T46="","",'Model inputs'!T46&lt;0))),'Model inputs'!Z122/-'Model inputs'!T46,"")</f>
        <v>12.388503468780977</v>
      </c>
      <c r="M19" s="11">
        <f>IF(IF(IF(ISERROR('Model inputs'!U46&lt;0),'Model inputs'!U46&lt;0,IF('Model inputs'!U46="","",'Model inputs'!U46&lt;0))="",FALSE,IF(ISERROR('Model inputs'!U46&lt;0),'Model inputs'!U46&lt;0,IF('Model inputs'!U46="","",'Model inputs'!U46&lt;0))),'Model inputs'!Z122/-'Model inputs'!U46,"")</f>
        <v>12.388503468780977</v>
      </c>
      <c r="N19" s="11">
        <f>IF(IF(IF(ISERROR('Model inputs'!V46&lt;0),'Model inputs'!V46&lt;0,IF('Model inputs'!V46="","",'Model inputs'!V46&lt;0))="",FALSE,IF(ISERROR('Model inputs'!V46&lt;0),'Model inputs'!V46&lt;0,IF('Model inputs'!V46="","",'Model inputs'!V46&lt;0))),'Model inputs'!Z122/-'Model inputs'!V46,"")</f>
        <v>12.388503468780977</v>
      </c>
      <c r="O19" s="11">
        <f>IF(IF(IF(ISERROR('Model inputs'!W46&lt;0),'Model inputs'!W46&lt;0,IF('Model inputs'!W46="","",'Model inputs'!W46&lt;0))="",FALSE,IF(ISERROR('Model inputs'!W46&lt;0),'Model inputs'!W46&lt;0,IF('Model inputs'!W46="","",'Model inputs'!W46&lt;0))),'Model inputs'!Z122/-'Model inputs'!W46,"")</f>
        <v>12.388503468780977</v>
      </c>
      <c r="P19" s="11">
        <f>IF(IF(IF(ISERROR('Model inputs'!X46&lt;0),'Model inputs'!X46&lt;0,IF('Model inputs'!X46="","",'Model inputs'!X46&lt;0))="",FALSE,IF(ISERROR('Model inputs'!X46&lt;0),'Model inputs'!X46&lt;0,IF('Model inputs'!X46="","",'Model inputs'!X46&lt;0))),'Model inputs'!Z122/-'Model inputs'!X46,"")</f>
        <v>12.388503468780977</v>
      </c>
      <c r="Q19" s="11">
        <f>IF(IF(IF(ISERROR('Model inputs'!Y46&lt;0),'Model inputs'!Y46&lt;0,IF('Model inputs'!Y46="","",'Model inputs'!Y46&lt;0))="",FALSE,IF(ISERROR('Model inputs'!Y46&lt;0),'Model inputs'!Y46&lt;0,IF('Model inputs'!Y46="","",'Model inputs'!Y46&lt;0))),'Model inputs'!Z122/-'Model inputs'!Y46,"")</f>
        <v>12.388503468780977</v>
      </c>
    </row>
    <row r="20" outlineLevel="1">
      <c r="A20" t="inlineStr" s="8">
        <is>
          <t xml:space="preserve">Lean launch — $5,000</t>
        </is>
      </c>
      <c r="B20" s="11">
        <f>0</f>
        <v>0</v>
      </c>
      <c r="C20" s="11">
        <f>IF(IF(IF(ISERROR('Briefcase conversion and cost s'!B77&lt;0),'Briefcase conversion and cost s'!B77&lt;0,IF('Briefcase conversion and cost s'!B77="","",'Briefcase conversion and cost s'!B77&lt;0))="",FALSE,IF(ISERROR('Briefcase conversion and cost s'!B77&lt;0),'Briefcase conversion and cost s'!B77&lt;0,IF('Briefcase conversion and cost s'!B77="","",'Briefcase conversion and cost s'!B77&lt;0))),'Model inputs'!Z123/-'Briefcase conversion and cost s'!B77,"")</f>
        <v>2.477700693756195</v>
      </c>
      <c r="D20" s="11">
        <f>IF(IF(IF(ISERROR('Model inputs'!L46&lt;0),'Model inputs'!L46&lt;0,IF('Model inputs'!L46="","",'Model inputs'!L46&lt;0))="",FALSE,IF(ISERROR('Model inputs'!L46&lt;0),'Model inputs'!L46&lt;0,IF('Model inputs'!L46="","",'Model inputs'!L46&lt;0))),'Model inputs'!Z123/-'Model inputs'!L46,"")</f>
        <v>2.477700693756195</v>
      </c>
      <c r="E20" s="11">
        <f>IF(IF(IF(ISERROR('Model inputs'!M46&lt;0),'Model inputs'!M46&lt;0,IF('Model inputs'!M46="","",'Model inputs'!M46&lt;0))="",FALSE,IF(ISERROR('Model inputs'!M46&lt;0),'Model inputs'!M46&lt;0,IF('Model inputs'!M46="","",'Model inputs'!M46&lt;0))),'Model inputs'!Z123/-'Model inputs'!M46,"")</f>
        <v>2.477700693756195</v>
      </c>
      <c r="F20" s="11">
        <f>IF(IF(IF(ISERROR('Model inputs'!N46&lt;0),'Model inputs'!N46&lt;0,IF('Model inputs'!N46="","",'Model inputs'!N46&lt;0))="",FALSE,IF(ISERROR('Model inputs'!N46&lt;0),'Model inputs'!N46&lt;0,IF('Model inputs'!N46="","",'Model inputs'!N46&lt;0))),'Model inputs'!Z123/-'Model inputs'!N46,"")</f>
        <v>2.477700693756195</v>
      </c>
      <c r="G20" s="11">
        <f>IF(IF(IF(ISERROR('Model inputs'!O46&lt;0),'Model inputs'!O46&lt;0,IF('Model inputs'!O46="","",'Model inputs'!O46&lt;0))="",FALSE,IF(ISERROR('Model inputs'!O46&lt;0),'Model inputs'!O46&lt;0,IF('Model inputs'!O46="","",'Model inputs'!O46&lt;0))),'Model inputs'!Z123/-'Model inputs'!O46,"")</f>
        <v>2.477700693756195</v>
      </c>
      <c r="H20" s="11">
        <f>IF(IF(IF(ISERROR('Model inputs'!P46&lt;0),'Model inputs'!P46&lt;0,IF('Model inputs'!P46="","",'Model inputs'!P46&lt;0))="",FALSE,IF(ISERROR('Model inputs'!P46&lt;0),'Model inputs'!P46&lt;0,IF('Model inputs'!P46="","",'Model inputs'!P46&lt;0))),'Model inputs'!Z123/-'Model inputs'!P46,"")</f>
        <v>2.477700693756195</v>
      </c>
      <c r="I20" s="11">
        <f>IF(IF(IF(ISERROR('Model inputs'!Q46&lt;0),'Model inputs'!Q46&lt;0,IF('Model inputs'!Q46="","",'Model inputs'!Q46&lt;0))="",FALSE,IF(ISERROR('Model inputs'!Q46&lt;0),'Model inputs'!Q46&lt;0,IF('Model inputs'!Q46="","",'Model inputs'!Q46&lt;0))),'Model inputs'!Z123/-'Model inputs'!Q46,"")</f>
        <v>2.477700693756195</v>
      </c>
      <c r="J20" s="11">
        <f>IF(IF(IF(ISERROR('Model inputs'!R46&lt;0),'Model inputs'!R46&lt;0,IF('Model inputs'!R46="","",'Model inputs'!R46&lt;0))="",FALSE,IF(ISERROR('Model inputs'!R46&lt;0),'Model inputs'!R46&lt;0,IF('Model inputs'!R46="","",'Model inputs'!R46&lt;0))),'Model inputs'!Z123/-'Model inputs'!R46,"")</f>
        <v>2.477700693756195</v>
      </c>
      <c r="K20" s="11">
        <f>IF(IF(IF(ISERROR('Model inputs'!S46&lt;0),'Model inputs'!S46&lt;0,IF('Model inputs'!S46="","",'Model inputs'!S46&lt;0))="",FALSE,IF(ISERROR('Model inputs'!S46&lt;0),'Model inputs'!S46&lt;0,IF('Model inputs'!S46="","",'Model inputs'!S46&lt;0))),'Model inputs'!Z123/-'Model inputs'!S46,"")</f>
        <v>2.477700693756195</v>
      </c>
      <c r="L20" s="11">
        <f>IF(IF(IF(ISERROR('Model inputs'!T46&lt;0),'Model inputs'!T46&lt;0,IF('Model inputs'!T46="","",'Model inputs'!T46&lt;0))="",FALSE,IF(ISERROR('Model inputs'!T46&lt;0),'Model inputs'!T46&lt;0,IF('Model inputs'!T46="","",'Model inputs'!T46&lt;0))),'Model inputs'!Z123/-'Model inputs'!T46,"")</f>
        <v>2.477700693756195</v>
      </c>
      <c r="M20" s="11">
        <f>IF(IF(IF(ISERROR('Model inputs'!U46&lt;0),'Model inputs'!U46&lt;0,IF('Model inputs'!U46="","",'Model inputs'!U46&lt;0))="",FALSE,IF(ISERROR('Model inputs'!U46&lt;0),'Model inputs'!U46&lt;0,IF('Model inputs'!U46="","",'Model inputs'!U46&lt;0))),'Model inputs'!Z123/-'Model inputs'!U46,"")</f>
        <v>2.477700693756195</v>
      </c>
      <c r="N20" s="11">
        <f>IF(IF(IF(ISERROR('Model inputs'!V46&lt;0),'Model inputs'!V46&lt;0,IF('Model inputs'!V46="","",'Model inputs'!V46&lt;0))="",FALSE,IF(ISERROR('Model inputs'!V46&lt;0),'Model inputs'!V46&lt;0,IF('Model inputs'!V46="","",'Model inputs'!V46&lt;0))),'Model inputs'!Z123/-'Model inputs'!V46,"")</f>
        <v>2.477700693756195</v>
      </c>
      <c r="O20" s="11">
        <f>IF(IF(IF(ISERROR('Model inputs'!W46&lt;0),'Model inputs'!W46&lt;0,IF('Model inputs'!W46="","",'Model inputs'!W46&lt;0))="",FALSE,IF(ISERROR('Model inputs'!W46&lt;0),'Model inputs'!W46&lt;0,IF('Model inputs'!W46="","",'Model inputs'!W46&lt;0))),'Model inputs'!Z123/-'Model inputs'!W46,"")</f>
        <v>2.477700693756195</v>
      </c>
      <c r="P20" s="11">
        <f>IF(IF(IF(ISERROR('Model inputs'!X46&lt;0),'Model inputs'!X46&lt;0,IF('Model inputs'!X46="","",'Model inputs'!X46&lt;0))="",FALSE,IF(ISERROR('Model inputs'!X46&lt;0),'Model inputs'!X46&lt;0,IF('Model inputs'!X46="","",'Model inputs'!X46&lt;0))),'Model inputs'!Z123/-'Model inputs'!X46,"")</f>
        <v>2.477700693756195</v>
      </c>
      <c r="Q20" s="11">
        <f>IF(IF(IF(ISERROR('Model inputs'!Y46&lt;0),'Model inputs'!Y46&lt;0,IF('Model inputs'!Y46="","",'Model inputs'!Y46&lt;0))="",FALSE,IF(ISERROR('Model inputs'!Y46&lt;0),'Model inputs'!Y46&lt;0,IF('Model inputs'!Y46="","",'Model inputs'!Y46&lt;0))),'Model inputs'!Z123/-'Model inputs'!Y46,"")</f>
        <v>2.477700693756195</v>
      </c>
    </row>
    <row r="21">
      <c r="A21" t="inlineStr" s="12">
        <is>
          <t xml:space="preserve">Monthly burn</t>
        </is>
      </c>
      <c r="B21" s="13">
        <v>0</v>
      </c>
      <c r="C21" s="13">
        <f>MAX(0,-'Briefcase conversion and cost s'!B65)</f>
        <v>0</v>
      </c>
      <c r="D21" s="13">
        <f>MAX(0,-'Model inputs'!L83)</f>
        <v>0</v>
      </c>
      <c r="E21" s="13">
        <f>MAX(0,-'Model inputs'!M83)</f>
        <v>0</v>
      </c>
      <c r="F21" s="13">
        <f>MAX(0,-'Model inputs'!N83)</f>
        <v>0</v>
      </c>
      <c r="G21" s="13">
        <f>MAX(0,-'Model inputs'!O83)</f>
        <v>0</v>
      </c>
      <c r="H21" s="13">
        <f>MAX(0,-'Model inputs'!P83)</f>
        <v>0</v>
      </c>
      <c r="I21" s="13">
        <f>MAX(0,-'Model inputs'!Q83)</f>
        <v>0</v>
      </c>
      <c r="J21" s="13">
        <f>MAX(0,-'Model inputs'!R83)</f>
        <v>0</v>
      </c>
      <c r="K21" s="13">
        <f>MAX(0,-'Model inputs'!S83)</f>
        <v>0</v>
      </c>
      <c r="L21" s="13">
        <f>MAX(0,-'Model inputs'!T83)</f>
        <v>0</v>
      </c>
      <c r="M21" s="13">
        <f>MAX(0,-'Model inputs'!U83)</f>
        <v>0</v>
      </c>
      <c r="N21" s="13">
        <f>MAX(0,-'Model inputs'!V83)</f>
        <v>0</v>
      </c>
      <c r="O21" s="13">
        <f>MAX(0,-'Model inputs'!W83)</f>
        <v>0</v>
      </c>
      <c r="P21" s="13">
        <f>MAX(0,-'Model inputs'!X83)</f>
        <v>0</v>
      </c>
      <c r="Q21" s="13">
        <f>MAX(0,-'Model inputs'!Y83)</f>
        <v>0</v>
      </c>
    </row>
    <row r="22">
      <c r="A22" t="inlineStr" s="6">
        <is>
          <t xml:space="preserve">Cash outlook</t>
        </is>
      </c>
      <c r="B22" s="14">
        <v/>
      </c>
      <c r="C22" t="str" s="14">
        <f>""</f>
        <v/>
      </c>
      <c r="D22" t="str" s="14">
        <f>""</f>
        <v/>
      </c>
      <c r="E22" t="str" s="14">
        <f>""</f>
        <v/>
      </c>
      <c r="F22" t="str" s="14">
        <f>""</f>
        <v/>
      </c>
      <c r="G22" t="str" s="14">
        <f>""</f>
        <v/>
      </c>
      <c r="H22" t="str" s="14">
        <f>""</f>
        <v/>
      </c>
      <c r="I22" t="str" s="14">
        <f>""</f>
        <v/>
      </c>
      <c r="J22" t="str" s="14">
        <f>""</f>
        <v/>
      </c>
      <c r="K22" t="str" s="14">
        <f>""</f>
        <v/>
      </c>
      <c r="L22" t="str" s="14">
        <f>""</f>
        <v/>
      </c>
      <c r="M22" t="str" s="14">
        <f>""</f>
        <v/>
      </c>
      <c r="N22" t="str" s="14">
        <f>""</f>
        <v/>
      </c>
      <c r="O22" t="str" s="14">
        <f>""</f>
        <v/>
      </c>
      <c r="P22" t="str" s="14">
        <f>""</f>
        <v/>
      </c>
      <c r="Q22" t="str" s="14">
        <f>""</f>
        <v/>
      </c>
    </row>
    <row r="23" outlineLevel="1">
      <c r="A23" t="inlineStr" s="8">
        <is>
          <t xml:space="preserve">Bootstrapped — $0</t>
        </is>
      </c>
      <c r="B23" s="13">
        <v/>
      </c>
      <c r="C23" t="str" s="13">
        <f>IF(IF(IF(ISERROR('Briefcase conversion and cost s'!B65&gt;=0),'Briefcase conversion and cost s'!B65&gt;=0,IF('Briefcase conversion and cost s'!B65="","",'Briefcase conversion and cost s'!B65&gt;=0))="",FALSE,IF(ISERROR('Briefcase conversion and cost s'!B65&gt;=0),'Briefcase conversion and cost s'!B65&gt;=0,IF('Briefcase conversion and cost s'!B65="","",'Briefcase conversion and cost s'!B65&gt;=0))),IF(IF(IF(ISERROR('Model inputs'!Z121=0),'Model inputs'!Z121=0,IF('Model inputs'!Z121="","",'Model inputs'!Z121=0))="",FALSE,IF(ISERROR('Model inputs'!Z121=0),'Model inputs'!Z121=0,IF('Model inputs'!Z121="","",'Model inputs'!Z121=0))),"Cash-positive; no launch buffer","Cash-positive within flat forecast"),"Cash-burning; see runway")</f>
        <v>Cash-positive; no launch buffer</v>
      </c>
      <c r="D23" t="str" s="13">
        <f>IF(IF(IF(ISERROR('Model inputs'!L83&gt;=0),'Model inputs'!L83&gt;=0,IF('Model inputs'!L83="","",'Model inputs'!L83&gt;=0))="",FALSE,IF(ISERROR('Model inputs'!L83&gt;=0),'Model inputs'!L83&gt;=0,IF('Model inputs'!L83="","",'Model inputs'!L83&gt;=0))),IF(IF(IF(ISERROR('Model inputs'!Z121=0),'Model inputs'!Z121=0,IF('Model inputs'!Z121="","",'Model inputs'!Z121=0))="",FALSE,IF(ISERROR('Model inputs'!Z121=0),'Model inputs'!Z121=0,IF('Model inputs'!Z121="","",'Model inputs'!Z121=0))),"Cash-positive; no launch buffer","Cash-positive within flat forecast"),"Cash-burning; see runway")</f>
        <v>Cash-positive; no launch buffer</v>
      </c>
      <c r="E23" t="str" s="13">
        <f>IF(IF(IF(ISERROR('Model inputs'!M83&gt;=0),'Model inputs'!M83&gt;=0,IF('Model inputs'!M83="","",'Model inputs'!M83&gt;=0))="",FALSE,IF(ISERROR('Model inputs'!M83&gt;=0),'Model inputs'!M83&gt;=0,IF('Model inputs'!M83="","",'Model inputs'!M83&gt;=0))),IF(IF(IF(ISERROR('Model inputs'!Z121=0),'Model inputs'!Z121=0,IF('Model inputs'!Z121="","",'Model inputs'!Z121=0))="",FALSE,IF(ISERROR('Model inputs'!Z121=0),'Model inputs'!Z121=0,IF('Model inputs'!Z121="","",'Model inputs'!Z121=0))),"Cash-positive; no launch buffer","Cash-positive within flat forecast"),"Cash-burning; see runway")</f>
        <v>Cash-positive; no launch buffer</v>
      </c>
      <c r="F23" t="str" s="13">
        <f>IF(IF(IF(ISERROR('Model inputs'!N83&gt;=0),'Model inputs'!N83&gt;=0,IF('Model inputs'!N83="","",'Model inputs'!N83&gt;=0))="",FALSE,IF(ISERROR('Model inputs'!N83&gt;=0),'Model inputs'!N83&gt;=0,IF('Model inputs'!N83="","",'Model inputs'!N83&gt;=0))),IF(IF(IF(ISERROR('Model inputs'!Z121=0),'Model inputs'!Z121=0,IF('Model inputs'!Z121="","",'Model inputs'!Z121=0))="",FALSE,IF(ISERROR('Model inputs'!Z121=0),'Model inputs'!Z121=0,IF('Model inputs'!Z121="","",'Model inputs'!Z121=0))),"Cash-positive; no launch buffer","Cash-positive within flat forecast"),"Cash-burning; see runway")</f>
        <v>Cash-positive; no launch buffer</v>
      </c>
      <c r="G23" t="str" s="13">
        <f>IF(IF(IF(ISERROR('Model inputs'!O83&gt;=0),'Model inputs'!O83&gt;=0,IF('Model inputs'!O83="","",'Model inputs'!O83&gt;=0))="",FALSE,IF(ISERROR('Model inputs'!O83&gt;=0),'Model inputs'!O83&gt;=0,IF('Model inputs'!O83="","",'Model inputs'!O83&gt;=0))),IF(IF(IF(ISERROR('Model inputs'!Z121=0),'Model inputs'!Z121=0,IF('Model inputs'!Z121="","",'Model inputs'!Z121=0))="",FALSE,IF(ISERROR('Model inputs'!Z121=0),'Model inputs'!Z121=0,IF('Model inputs'!Z121="","",'Model inputs'!Z121=0))),"Cash-positive; no launch buffer","Cash-positive within flat forecast"),"Cash-burning; see runway")</f>
        <v>Cash-positive; no launch buffer</v>
      </c>
      <c r="H23" t="str" s="13">
        <f>IF(IF(IF(ISERROR('Model inputs'!P83&gt;=0),'Model inputs'!P83&gt;=0,IF('Model inputs'!P83="","",'Model inputs'!P83&gt;=0))="",FALSE,IF(ISERROR('Model inputs'!P83&gt;=0),'Model inputs'!P83&gt;=0,IF('Model inputs'!P83="","",'Model inputs'!P83&gt;=0))),IF(IF(IF(ISERROR('Model inputs'!Z121=0),'Model inputs'!Z121=0,IF('Model inputs'!Z121="","",'Model inputs'!Z121=0))="",FALSE,IF(ISERROR('Model inputs'!Z121=0),'Model inputs'!Z121=0,IF('Model inputs'!Z121="","",'Model inputs'!Z121=0))),"Cash-positive; no launch buffer","Cash-positive within flat forecast"),"Cash-burning; see runway")</f>
        <v>Cash-positive; no launch buffer</v>
      </c>
      <c r="I23" t="str" s="13">
        <f>IF(IF(IF(ISERROR('Model inputs'!Q83&gt;=0),'Model inputs'!Q83&gt;=0,IF('Model inputs'!Q83="","",'Model inputs'!Q83&gt;=0))="",FALSE,IF(ISERROR('Model inputs'!Q83&gt;=0),'Model inputs'!Q83&gt;=0,IF('Model inputs'!Q83="","",'Model inputs'!Q83&gt;=0))),IF(IF(IF(ISERROR('Model inputs'!Z121=0),'Model inputs'!Z121=0,IF('Model inputs'!Z121="","",'Model inputs'!Z121=0))="",FALSE,IF(ISERROR('Model inputs'!Z121=0),'Model inputs'!Z121=0,IF('Model inputs'!Z121="","",'Model inputs'!Z121=0))),"Cash-positive; no launch buffer","Cash-positive within flat forecast"),"Cash-burning; see runway")</f>
        <v>Cash-positive; no launch buffer</v>
      </c>
      <c r="J23" t="str" s="13">
        <f>IF(IF(IF(ISERROR('Model inputs'!R83&gt;=0),'Model inputs'!R83&gt;=0,IF('Model inputs'!R83="","",'Model inputs'!R83&gt;=0))="",FALSE,IF(ISERROR('Model inputs'!R83&gt;=0),'Model inputs'!R83&gt;=0,IF('Model inputs'!R83="","",'Model inputs'!R83&gt;=0))),IF(IF(IF(ISERROR('Model inputs'!Z121=0),'Model inputs'!Z121=0,IF('Model inputs'!Z121="","",'Model inputs'!Z121=0))="",FALSE,IF(ISERROR('Model inputs'!Z121=0),'Model inputs'!Z121=0,IF('Model inputs'!Z121="","",'Model inputs'!Z121=0))),"Cash-positive; no launch buffer","Cash-positive within flat forecast"),"Cash-burning; see runway")</f>
        <v>Cash-positive; no launch buffer</v>
      </c>
      <c r="K23" t="str" s="13">
        <f>IF(IF(IF(ISERROR('Model inputs'!S83&gt;=0),'Model inputs'!S83&gt;=0,IF('Model inputs'!S83="","",'Model inputs'!S83&gt;=0))="",FALSE,IF(ISERROR('Model inputs'!S83&gt;=0),'Model inputs'!S83&gt;=0,IF('Model inputs'!S83="","",'Model inputs'!S83&gt;=0))),IF(IF(IF(ISERROR('Model inputs'!Z121=0),'Model inputs'!Z121=0,IF('Model inputs'!Z121="","",'Model inputs'!Z121=0))="",FALSE,IF(ISERROR('Model inputs'!Z121=0),'Model inputs'!Z121=0,IF('Model inputs'!Z121="","",'Model inputs'!Z121=0))),"Cash-positive; no launch buffer","Cash-positive within flat forecast"),"Cash-burning; see runway")</f>
        <v>Cash-positive; no launch buffer</v>
      </c>
      <c r="L23" t="str" s="13">
        <f>IF(IF(IF(ISERROR('Model inputs'!T83&gt;=0),'Model inputs'!T83&gt;=0,IF('Model inputs'!T83="","",'Model inputs'!T83&gt;=0))="",FALSE,IF(ISERROR('Model inputs'!T83&gt;=0),'Model inputs'!T83&gt;=0,IF('Model inputs'!T83="","",'Model inputs'!T83&gt;=0))),IF(IF(IF(ISERROR('Model inputs'!Z121=0),'Model inputs'!Z121=0,IF('Model inputs'!Z121="","",'Model inputs'!Z121=0))="",FALSE,IF(ISERROR('Model inputs'!Z121=0),'Model inputs'!Z121=0,IF('Model inputs'!Z121="","",'Model inputs'!Z121=0))),"Cash-positive; no launch buffer","Cash-positive within flat forecast"),"Cash-burning; see runway")</f>
        <v>Cash-positive; no launch buffer</v>
      </c>
      <c r="M23" t="str" s="13">
        <f>IF(IF(IF(ISERROR('Model inputs'!U83&gt;=0),'Model inputs'!U83&gt;=0,IF('Model inputs'!U83="","",'Model inputs'!U83&gt;=0))="",FALSE,IF(ISERROR('Model inputs'!U83&gt;=0),'Model inputs'!U83&gt;=0,IF('Model inputs'!U83="","",'Model inputs'!U83&gt;=0))),IF(IF(IF(ISERROR('Model inputs'!Z121=0),'Model inputs'!Z121=0,IF('Model inputs'!Z121="","",'Model inputs'!Z121=0))="",FALSE,IF(ISERROR('Model inputs'!Z121=0),'Model inputs'!Z121=0,IF('Model inputs'!Z121="","",'Model inputs'!Z121=0))),"Cash-positive; no launch buffer","Cash-positive within flat forecast"),"Cash-burning; see runway")</f>
        <v>Cash-positive; no launch buffer</v>
      </c>
      <c r="N23" t="str" s="13">
        <f>IF(IF(IF(ISERROR('Model inputs'!V83&gt;=0),'Model inputs'!V83&gt;=0,IF('Model inputs'!V83="","",'Model inputs'!V83&gt;=0))="",FALSE,IF(ISERROR('Model inputs'!V83&gt;=0),'Model inputs'!V83&gt;=0,IF('Model inputs'!V83="","",'Model inputs'!V83&gt;=0))),IF(IF(IF(ISERROR('Model inputs'!Z121=0),'Model inputs'!Z121=0,IF('Model inputs'!Z121="","",'Model inputs'!Z121=0))="",FALSE,IF(ISERROR('Model inputs'!Z121=0),'Model inputs'!Z121=0,IF('Model inputs'!Z121="","",'Model inputs'!Z121=0))),"Cash-positive; no launch buffer","Cash-positive within flat forecast"),"Cash-burning; see runway")</f>
        <v>Cash-positive; no launch buffer</v>
      </c>
      <c r="O23" t="str" s="13">
        <f>IF(IF(IF(ISERROR('Model inputs'!W83&gt;=0),'Model inputs'!W83&gt;=0,IF('Model inputs'!W83="","",'Model inputs'!W83&gt;=0))="",FALSE,IF(ISERROR('Model inputs'!W83&gt;=0),'Model inputs'!W83&gt;=0,IF('Model inputs'!W83="","",'Model inputs'!W83&gt;=0))),IF(IF(IF(ISERROR('Model inputs'!Z121=0),'Model inputs'!Z121=0,IF('Model inputs'!Z121="","",'Model inputs'!Z121=0))="",FALSE,IF(ISERROR('Model inputs'!Z121=0),'Model inputs'!Z121=0,IF('Model inputs'!Z121="","",'Model inputs'!Z121=0))),"Cash-positive; no launch buffer","Cash-positive within flat forecast"),"Cash-burning; see runway")</f>
        <v>Cash-positive; no launch buffer</v>
      </c>
      <c r="P23" t="str" s="13">
        <f>IF(IF(IF(ISERROR('Model inputs'!X83&gt;=0),'Model inputs'!X83&gt;=0,IF('Model inputs'!X83="","",'Model inputs'!X83&gt;=0))="",FALSE,IF(ISERROR('Model inputs'!X83&gt;=0),'Model inputs'!X83&gt;=0,IF('Model inputs'!X83="","",'Model inputs'!X83&gt;=0))),IF(IF(IF(ISERROR('Model inputs'!Z121=0),'Model inputs'!Z121=0,IF('Model inputs'!Z121="","",'Model inputs'!Z121=0))="",FALSE,IF(ISERROR('Model inputs'!Z121=0),'Model inputs'!Z121=0,IF('Model inputs'!Z121="","",'Model inputs'!Z121=0))),"Cash-positive; no launch buffer","Cash-positive within flat forecast"),"Cash-burning; see runway")</f>
        <v>Cash-positive; no launch buffer</v>
      </c>
      <c r="Q23" t="str" s="13">
        <f>IF(IF(IF(ISERROR('Model inputs'!Y83&gt;=0),'Model inputs'!Y83&gt;=0,IF('Model inputs'!Y83="","",'Model inputs'!Y83&gt;=0))="",FALSE,IF(ISERROR('Model inputs'!Y83&gt;=0),'Model inputs'!Y83&gt;=0,IF('Model inputs'!Y83="","",'Model inputs'!Y83&gt;=0))),IF(IF(IF(ISERROR('Model inputs'!Z121=0),'Model inputs'!Z121=0,IF('Model inputs'!Z121="","",'Model inputs'!Z121=0))="",FALSE,IF(ISERROR('Model inputs'!Z121=0),'Model inputs'!Z121=0,IF('Model inputs'!Z121="","",'Model inputs'!Z121=0))),"Cash-positive; no launch buffer","Cash-positive within flat forecast"),"Cash-burning; see runway")</f>
        <v>Cash-positive; no launch buffer</v>
      </c>
    </row>
    <row r="24" outlineLevel="1">
      <c r="A24" t="inlineStr" s="8">
        <is>
          <t xml:space="preserve">Illustrative pre-seed — $25,000</t>
        </is>
      </c>
      <c r="B24" s="13">
        <v/>
      </c>
      <c r="C24" t="str" s="13">
        <f>IF(IF(IF(ISERROR('Briefcase conversion and cost s'!B65&gt;=0),'Briefcase conversion and cost s'!B65&gt;=0,IF('Briefcase conversion and cost s'!B65="","",'Briefcase conversion and cost s'!B65&gt;=0))="",FALSE,IF(ISERROR('Briefcase conversion and cost s'!B65&gt;=0),'Briefcase conversion and cost s'!B65&gt;=0,IF('Briefcase conversion and cost s'!B65="","",'Briefcase conversion and cost s'!B65&gt;=0))),IF(IF(IF(ISERROR('Model inputs'!Z122=0),'Model inputs'!Z122=0,IF('Model inputs'!Z122="","",'Model inputs'!Z122=0))="",FALSE,IF(ISERROR('Model inputs'!Z122=0),'Model inputs'!Z122=0,IF('Model inputs'!Z122="","",'Model inputs'!Z122=0))),"Cash-positive; no launch buffer","Cash-positive within flat forecast"),"Cash-burning; see runway")</f>
        <v>Cash-positive within flat forecast</v>
      </c>
      <c r="D24" t="str" s="13">
        <f>IF(IF(IF(ISERROR('Model inputs'!L83&gt;=0),'Model inputs'!L83&gt;=0,IF('Model inputs'!L83="","",'Model inputs'!L83&gt;=0))="",FALSE,IF(ISERROR('Model inputs'!L83&gt;=0),'Model inputs'!L83&gt;=0,IF('Model inputs'!L83="","",'Model inputs'!L83&gt;=0))),IF(IF(IF(ISERROR('Model inputs'!Z122=0),'Model inputs'!Z122=0,IF('Model inputs'!Z122="","",'Model inputs'!Z122=0))="",FALSE,IF(ISERROR('Model inputs'!Z122=0),'Model inputs'!Z122=0,IF('Model inputs'!Z122="","",'Model inputs'!Z122=0))),"Cash-positive; no launch buffer","Cash-positive within flat forecast"),"Cash-burning; see runway")</f>
        <v>Cash-positive within flat forecast</v>
      </c>
      <c r="E24" t="str" s="13">
        <f>IF(IF(IF(ISERROR('Model inputs'!M83&gt;=0),'Model inputs'!M83&gt;=0,IF('Model inputs'!M83="","",'Model inputs'!M83&gt;=0))="",FALSE,IF(ISERROR('Model inputs'!M83&gt;=0),'Model inputs'!M83&gt;=0,IF('Model inputs'!M83="","",'Model inputs'!M83&gt;=0))),IF(IF(IF(ISERROR('Model inputs'!Z122=0),'Model inputs'!Z122=0,IF('Model inputs'!Z122="","",'Model inputs'!Z122=0))="",FALSE,IF(ISERROR('Model inputs'!Z122=0),'Model inputs'!Z122=0,IF('Model inputs'!Z122="","",'Model inputs'!Z122=0))),"Cash-positive; no launch buffer","Cash-positive within flat forecast"),"Cash-burning; see runway")</f>
        <v>Cash-positive within flat forecast</v>
      </c>
      <c r="F24" t="str" s="13">
        <f>IF(IF(IF(ISERROR('Model inputs'!N83&gt;=0),'Model inputs'!N83&gt;=0,IF('Model inputs'!N83="","",'Model inputs'!N83&gt;=0))="",FALSE,IF(ISERROR('Model inputs'!N83&gt;=0),'Model inputs'!N83&gt;=0,IF('Model inputs'!N83="","",'Model inputs'!N83&gt;=0))),IF(IF(IF(ISERROR('Model inputs'!Z122=0),'Model inputs'!Z122=0,IF('Model inputs'!Z122="","",'Model inputs'!Z122=0))="",FALSE,IF(ISERROR('Model inputs'!Z122=0),'Model inputs'!Z122=0,IF('Model inputs'!Z122="","",'Model inputs'!Z122=0))),"Cash-positive; no launch buffer","Cash-positive within flat forecast"),"Cash-burning; see runway")</f>
        <v>Cash-positive within flat forecast</v>
      </c>
      <c r="G24" t="str" s="13">
        <f>IF(IF(IF(ISERROR('Model inputs'!O83&gt;=0),'Model inputs'!O83&gt;=0,IF('Model inputs'!O83="","",'Model inputs'!O83&gt;=0))="",FALSE,IF(ISERROR('Model inputs'!O83&gt;=0),'Model inputs'!O83&gt;=0,IF('Model inputs'!O83="","",'Model inputs'!O83&gt;=0))),IF(IF(IF(ISERROR('Model inputs'!Z122=0),'Model inputs'!Z122=0,IF('Model inputs'!Z122="","",'Model inputs'!Z122=0))="",FALSE,IF(ISERROR('Model inputs'!Z122=0),'Model inputs'!Z122=0,IF('Model inputs'!Z122="","",'Model inputs'!Z122=0))),"Cash-positive; no launch buffer","Cash-positive within flat forecast"),"Cash-burning; see runway")</f>
        <v>Cash-positive within flat forecast</v>
      </c>
      <c r="H24" t="str" s="13">
        <f>IF(IF(IF(ISERROR('Model inputs'!P83&gt;=0),'Model inputs'!P83&gt;=0,IF('Model inputs'!P83="","",'Model inputs'!P83&gt;=0))="",FALSE,IF(ISERROR('Model inputs'!P83&gt;=0),'Model inputs'!P83&gt;=0,IF('Model inputs'!P83="","",'Model inputs'!P83&gt;=0))),IF(IF(IF(ISERROR('Model inputs'!Z122=0),'Model inputs'!Z122=0,IF('Model inputs'!Z122="","",'Model inputs'!Z122=0))="",FALSE,IF(ISERROR('Model inputs'!Z122=0),'Model inputs'!Z122=0,IF('Model inputs'!Z122="","",'Model inputs'!Z122=0))),"Cash-positive; no launch buffer","Cash-positive within flat forecast"),"Cash-burning; see runway")</f>
        <v>Cash-positive within flat forecast</v>
      </c>
      <c r="I24" t="str" s="13">
        <f>IF(IF(IF(ISERROR('Model inputs'!Q83&gt;=0),'Model inputs'!Q83&gt;=0,IF('Model inputs'!Q83="","",'Model inputs'!Q83&gt;=0))="",FALSE,IF(ISERROR('Model inputs'!Q83&gt;=0),'Model inputs'!Q83&gt;=0,IF('Model inputs'!Q83="","",'Model inputs'!Q83&gt;=0))),IF(IF(IF(ISERROR('Model inputs'!Z122=0),'Model inputs'!Z122=0,IF('Model inputs'!Z122="","",'Model inputs'!Z122=0))="",FALSE,IF(ISERROR('Model inputs'!Z122=0),'Model inputs'!Z122=0,IF('Model inputs'!Z122="","",'Model inputs'!Z122=0))),"Cash-positive; no launch buffer","Cash-positive within flat forecast"),"Cash-burning; see runway")</f>
        <v>Cash-positive within flat forecast</v>
      </c>
      <c r="J24" t="str" s="13">
        <f>IF(IF(IF(ISERROR('Model inputs'!R83&gt;=0),'Model inputs'!R83&gt;=0,IF('Model inputs'!R83="","",'Model inputs'!R83&gt;=0))="",FALSE,IF(ISERROR('Model inputs'!R83&gt;=0),'Model inputs'!R83&gt;=0,IF('Model inputs'!R83="","",'Model inputs'!R83&gt;=0))),IF(IF(IF(ISERROR('Model inputs'!Z122=0),'Model inputs'!Z122=0,IF('Model inputs'!Z122="","",'Model inputs'!Z122=0))="",FALSE,IF(ISERROR('Model inputs'!Z122=0),'Model inputs'!Z122=0,IF('Model inputs'!Z122="","",'Model inputs'!Z122=0))),"Cash-positive; no launch buffer","Cash-positive within flat forecast"),"Cash-burning; see runway")</f>
        <v>Cash-positive within flat forecast</v>
      </c>
      <c r="K24" t="str" s="13">
        <f>IF(IF(IF(ISERROR('Model inputs'!S83&gt;=0),'Model inputs'!S83&gt;=0,IF('Model inputs'!S83="","",'Model inputs'!S83&gt;=0))="",FALSE,IF(ISERROR('Model inputs'!S83&gt;=0),'Model inputs'!S83&gt;=0,IF('Model inputs'!S83="","",'Model inputs'!S83&gt;=0))),IF(IF(IF(ISERROR('Model inputs'!Z122=0),'Model inputs'!Z122=0,IF('Model inputs'!Z122="","",'Model inputs'!Z122=0))="",FALSE,IF(ISERROR('Model inputs'!Z122=0),'Model inputs'!Z122=0,IF('Model inputs'!Z122="","",'Model inputs'!Z122=0))),"Cash-positive; no launch buffer","Cash-positive within flat forecast"),"Cash-burning; see runway")</f>
        <v>Cash-positive within flat forecast</v>
      </c>
      <c r="L24" t="str" s="13">
        <f>IF(IF(IF(ISERROR('Model inputs'!T83&gt;=0),'Model inputs'!T83&gt;=0,IF('Model inputs'!T83="","",'Model inputs'!T83&gt;=0))="",FALSE,IF(ISERROR('Model inputs'!T83&gt;=0),'Model inputs'!T83&gt;=0,IF('Model inputs'!T83="","",'Model inputs'!T83&gt;=0))),IF(IF(IF(ISERROR('Model inputs'!Z122=0),'Model inputs'!Z122=0,IF('Model inputs'!Z122="","",'Model inputs'!Z122=0))="",FALSE,IF(ISERROR('Model inputs'!Z122=0),'Model inputs'!Z122=0,IF('Model inputs'!Z122="","",'Model inputs'!Z122=0))),"Cash-positive; no launch buffer","Cash-positive within flat forecast"),"Cash-burning; see runway")</f>
        <v>Cash-positive within flat forecast</v>
      </c>
      <c r="M24" t="str" s="13">
        <f>IF(IF(IF(ISERROR('Model inputs'!U83&gt;=0),'Model inputs'!U83&gt;=0,IF('Model inputs'!U83="","",'Model inputs'!U83&gt;=0))="",FALSE,IF(ISERROR('Model inputs'!U83&gt;=0),'Model inputs'!U83&gt;=0,IF('Model inputs'!U83="","",'Model inputs'!U83&gt;=0))),IF(IF(IF(ISERROR('Model inputs'!Z122=0),'Model inputs'!Z122=0,IF('Model inputs'!Z122="","",'Model inputs'!Z122=0))="",FALSE,IF(ISERROR('Model inputs'!Z122=0),'Model inputs'!Z122=0,IF('Model inputs'!Z122="","",'Model inputs'!Z122=0))),"Cash-positive; no launch buffer","Cash-positive within flat forecast"),"Cash-burning; see runway")</f>
        <v>Cash-positive within flat forecast</v>
      </c>
      <c r="N24" t="str" s="13">
        <f>IF(IF(IF(ISERROR('Model inputs'!V83&gt;=0),'Model inputs'!V83&gt;=0,IF('Model inputs'!V83="","",'Model inputs'!V83&gt;=0))="",FALSE,IF(ISERROR('Model inputs'!V83&gt;=0),'Model inputs'!V83&gt;=0,IF('Model inputs'!V83="","",'Model inputs'!V83&gt;=0))),IF(IF(IF(ISERROR('Model inputs'!Z122=0),'Model inputs'!Z122=0,IF('Model inputs'!Z122="","",'Model inputs'!Z122=0))="",FALSE,IF(ISERROR('Model inputs'!Z122=0),'Model inputs'!Z122=0,IF('Model inputs'!Z122="","",'Model inputs'!Z122=0))),"Cash-positive; no launch buffer","Cash-positive within flat forecast"),"Cash-burning; see runway")</f>
        <v>Cash-positive within flat forecast</v>
      </c>
      <c r="O24" t="str" s="13">
        <f>IF(IF(IF(ISERROR('Model inputs'!W83&gt;=0),'Model inputs'!W83&gt;=0,IF('Model inputs'!W83="","",'Model inputs'!W83&gt;=0))="",FALSE,IF(ISERROR('Model inputs'!W83&gt;=0),'Model inputs'!W83&gt;=0,IF('Model inputs'!W83="","",'Model inputs'!W83&gt;=0))),IF(IF(IF(ISERROR('Model inputs'!Z122=0),'Model inputs'!Z122=0,IF('Model inputs'!Z122="","",'Model inputs'!Z122=0))="",FALSE,IF(ISERROR('Model inputs'!Z122=0),'Model inputs'!Z122=0,IF('Model inputs'!Z122="","",'Model inputs'!Z122=0))),"Cash-positive; no launch buffer","Cash-positive within flat forecast"),"Cash-burning; see runway")</f>
        <v>Cash-positive within flat forecast</v>
      </c>
      <c r="P24" t="str" s="13">
        <f>IF(IF(IF(ISERROR('Model inputs'!X83&gt;=0),'Model inputs'!X83&gt;=0,IF('Model inputs'!X83="","",'Model inputs'!X83&gt;=0))="",FALSE,IF(ISERROR('Model inputs'!X83&gt;=0),'Model inputs'!X83&gt;=0,IF('Model inputs'!X83="","",'Model inputs'!X83&gt;=0))),IF(IF(IF(ISERROR('Model inputs'!Z122=0),'Model inputs'!Z122=0,IF('Model inputs'!Z122="","",'Model inputs'!Z122=0))="",FALSE,IF(ISERROR('Model inputs'!Z122=0),'Model inputs'!Z122=0,IF('Model inputs'!Z122="","",'Model inputs'!Z122=0))),"Cash-positive; no launch buffer","Cash-positive within flat forecast"),"Cash-burning; see runway")</f>
        <v>Cash-positive within flat forecast</v>
      </c>
      <c r="Q24" t="str" s="13">
        <f>IF(IF(IF(ISERROR('Model inputs'!Y83&gt;=0),'Model inputs'!Y83&gt;=0,IF('Model inputs'!Y83="","",'Model inputs'!Y83&gt;=0))="",FALSE,IF(ISERROR('Model inputs'!Y83&gt;=0),'Model inputs'!Y83&gt;=0,IF('Model inputs'!Y83="","",'Model inputs'!Y83&gt;=0))),IF(IF(IF(ISERROR('Model inputs'!Z122=0),'Model inputs'!Z122=0,IF('Model inputs'!Z122="","",'Model inputs'!Z122=0))="",FALSE,IF(ISERROR('Model inputs'!Z122=0),'Model inputs'!Z122=0,IF('Model inputs'!Z122="","",'Model inputs'!Z122=0))),"Cash-positive; no launch buffer","Cash-positive within flat forecast"),"Cash-burning; see runway")</f>
        <v>Cash-positive within flat forecast</v>
      </c>
    </row>
    <row r="25" outlineLevel="1">
      <c r="A25" t="inlineStr" s="8">
        <is>
          <t xml:space="preserve">Lean launch — $5,000</t>
        </is>
      </c>
      <c r="B25" s="13">
        <v/>
      </c>
      <c r="C25" t="str" s="13">
        <f>IF(IF(IF(ISERROR('Briefcase conversion and cost s'!B65&gt;=0),'Briefcase conversion and cost s'!B65&gt;=0,IF('Briefcase conversion and cost s'!B65="","",'Briefcase conversion and cost s'!B65&gt;=0))="",FALSE,IF(ISERROR('Briefcase conversion and cost s'!B65&gt;=0),'Briefcase conversion and cost s'!B65&gt;=0,IF('Briefcase conversion and cost s'!B65="","",'Briefcase conversion and cost s'!B65&gt;=0))),IF(IF(IF(ISERROR('Model inputs'!Z123=0),'Model inputs'!Z123=0,IF('Model inputs'!Z123="","",'Model inputs'!Z123=0))="",FALSE,IF(ISERROR('Model inputs'!Z123=0),'Model inputs'!Z123=0,IF('Model inputs'!Z123="","",'Model inputs'!Z123=0))),"Cash-positive; no launch buffer","Cash-positive within flat forecast"),"Cash-burning; see runway")</f>
        <v>Cash-positive within flat forecast</v>
      </c>
      <c r="D25" t="str" s="13">
        <f>IF(IF(IF(ISERROR('Model inputs'!L83&gt;=0),'Model inputs'!L83&gt;=0,IF('Model inputs'!L83="","",'Model inputs'!L83&gt;=0))="",FALSE,IF(ISERROR('Model inputs'!L83&gt;=0),'Model inputs'!L83&gt;=0,IF('Model inputs'!L83="","",'Model inputs'!L83&gt;=0))),IF(IF(IF(ISERROR('Model inputs'!Z123=0),'Model inputs'!Z123=0,IF('Model inputs'!Z123="","",'Model inputs'!Z123=0))="",FALSE,IF(ISERROR('Model inputs'!Z123=0),'Model inputs'!Z123=0,IF('Model inputs'!Z123="","",'Model inputs'!Z123=0))),"Cash-positive; no launch buffer","Cash-positive within flat forecast"),"Cash-burning; see runway")</f>
        <v>Cash-positive within flat forecast</v>
      </c>
      <c r="E25" t="str" s="13">
        <f>IF(IF(IF(ISERROR('Model inputs'!M83&gt;=0),'Model inputs'!M83&gt;=0,IF('Model inputs'!M83="","",'Model inputs'!M83&gt;=0))="",FALSE,IF(ISERROR('Model inputs'!M83&gt;=0),'Model inputs'!M83&gt;=0,IF('Model inputs'!M83="","",'Model inputs'!M83&gt;=0))),IF(IF(IF(ISERROR('Model inputs'!Z123=0),'Model inputs'!Z123=0,IF('Model inputs'!Z123="","",'Model inputs'!Z123=0))="",FALSE,IF(ISERROR('Model inputs'!Z123=0),'Model inputs'!Z123=0,IF('Model inputs'!Z123="","",'Model inputs'!Z123=0))),"Cash-positive; no launch buffer","Cash-positive within flat forecast"),"Cash-burning; see runway")</f>
        <v>Cash-positive within flat forecast</v>
      </c>
      <c r="F25" t="str" s="13">
        <f>IF(IF(IF(ISERROR('Model inputs'!N83&gt;=0),'Model inputs'!N83&gt;=0,IF('Model inputs'!N83="","",'Model inputs'!N83&gt;=0))="",FALSE,IF(ISERROR('Model inputs'!N83&gt;=0),'Model inputs'!N83&gt;=0,IF('Model inputs'!N83="","",'Model inputs'!N83&gt;=0))),IF(IF(IF(ISERROR('Model inputs'!Z123=0),'Model inputs'!Z123=0,IF('Model inputs'!Z123="","",'Model inputs'!Z123=0))="",FALSE,IF(ISERROR('Model inputs'!Z123=0),'Model inputs'!Z123=0,IF('Model inputs'!Z123="","",'Model inputs'!Z123=0))),"Cash-positive; no launch buffer","Cash-positive within flat forecast"),"Cash-burning; see runway")</f>
        <v>Cash-positive within flat forecast</v>
      </c>
      <c r="G25" t="str" s="13">
        <f>IF(IF(IF(ISERROR('Model inputs'!O83&gt;=0),'Model inputs'!O83&gt;=0,IF('Model inputs'!O83="","",'Model inputs'!O83&gt;=0))="",FALSE,IF(ISERROR('Model inputs'!O83&gt;=0),'Model inputs'!O83&gt;=0,IF('Model inputs'!O83="","",'Model inputs'!O83&gt;=0))),IF(IF(IF(ISERROR('Model inputs'!Z123=0),'Model inputs'!Z123=0,IF('Model inputs'!Z123="","",'Model inputs'!Z123=0))="",FALSE,IF(ISERROR('Model inputs'!Z123=0),'Model inputs'!Z123=0,IF('Model inputs'!Z123="","",'Model inputs'!Z123=0))),"Cash-positive; no launch buffer","Cash-positive within flat forecast"),"Cash-burning; see runway")</f>
        <v>Cash-positive within flat forecast</v>
      </c>
      <c r="H25" t="str" s="13">
        <f>IF(IF(IF(ISERROR('Model inputs'!P83&gt;=0),'Model inputs'!P83&gt;=0,IF('Model inputs'!P83="","",'Model inputs'!P83&gt;=0))="",FALSE,IF(ISERROR('Model inputs'!P83&gt;=0),'Model inputs'!P83&gt;=0,IF('Model inputs'!P83="","",'Model inputs'!P83&gt;=0))),IF(IF(IF(ISERROR('Model inputs'!Z123=0),'Model inputs'!Z123=0,IF('Model inputs'!Z123="","",'Model inputs'!Z123=0))="",FALSE,IF(ISERROR('Model inputs'!Z123=0),'Model inputs'!Z123=0,IF('Model inputs'!Z123="","",'Model inputs'!Z123=0))),"Cash-positive; no launch buffer","Cash-positive within flat forecast"),"Cash-burning; see runway")</f>
        <v>Cash-positive within flat forecast</v>
      </c>
      <c r="I25" t="str" s="13">
        <f>IF(IF(IF(ISERROR('Model inputs'!Q83&gt;=0),'Model inputs'!Q83&gt;=0,IF('Model inputs'!Q83="","",'Model inputs'!Q83&gt;=0))="",FALSE,IF(ISERROR('Model inputs'!Q83&gt;=0),'Model inputs'!Q83&gt;=0,IF('Model inputs'!Q83="","",'Model inputs'!Q83&gt;=0))),IF(IF(IF(ISERROR('Model inputs'!Z123=0),'Model inputs'!Z123=0,IF('Model inputs'!Z123="","",'Model inputs'!Z123=0))="",FALSE,IF(ISERROR('Model inputs'!Z123=0),'Model inputs'!Z123=0,IF('Model inputs'!Z123="","",'Model inputs'!Z123=0))),"Cash-positive; no launch buffer","Cash-positive within flat forecast"),"Cash-burning; see runway")</f>
        <v>Cash-positive within flat forecast</v>
      </c>
      <c r="J25" t="str" s="13">
        <f>IF(IF(IF(ISERROR('Model inputs'!R83&gt;=0),'Model inputs'!R83&gt;=0,IF('Model inputs'!R83="","",'Model inputs'!R83&gt;=0))="",FALSE,IF(ISERROR('Model inputs'!R83&gt;=0),'Model inputs'!R83&gt;=0,IF('Model inputs'!R83="","",'Model inputs'!R83&gt;=0))),IF(IF(IF(ISERROR('Model inputs'!Z123=0),'Model inputs'!Z123=0,IF('Model inputs'!Z123="","",'Model inputs'!Z123=0))="",FALSE,IF(ISERROR('Model inputs'!Z123=0),'Model inputs'!Z123=0,IF('Model inputs'!Z123="","",'Model inputs'!Z123=0))),"Cash-positive; no launch buffer","Cash-positive within flat forecast"),"Cash-burning; see runway")</f>
        <v>Cash-positive within flat forecast</v>
      </c>
      <c r="K25" t="str" s="13">
        <f>IF(IF(IF(ISERROR('Model inputs'!S83&gt;=0),'Model inputs'!S83&gt;=0,IF('Model inputs'!S83="","",'Model inputs'!S83&gt;=0))="",FALSE,IF(ISERROR('Model inputs'!S83&gt;=0),'Model inputs'!S83&gt;=0,IF('Model inputs'!S83="","",'Model inputs'!S83&gt;=0))),IF(IF(IF(ISERROR('Model inputs'!Z123=0),'Model inputs'!Z123=0,IF('Model inputs'!Z123="","",'Model inputs'!Z123=0))="",FALSE,IF(ISERROR('Model inputs'!Z123=0),'Model inputs'!Z123=0,IF('Model inputs'!Z123="","",'Model inputs'!Z123=0))),"Cash-positive; no launch buffer","Cash-positive within flat forecast"),"Cash-burning; see runway")</f>
        <v>Cash-positive within flat forecast</v>
      </c>
      <c r="L25" t="str" s="13">
        <f>IF(IF(IF(ISERROR('Model inputs'!T83&gt;=0),'Model inputs'!T83&gt;=0,IF('Model inputs'!T83="","",'Model inputs'!T83&gt;=0))="",FALSE,IF(ISERROR('Model inputs'!T83&gt;=0),'Model inputs'!T83&gt;=0,IF('Model inputs'!T83="","",'Model inputs'!T83&gt;=0))),IF(IF(IF(ISERROR('Model inputs'!Z123=0),'Model inputs'!Z123=0,IF('Model inputs'!Z123="","",'Model inputs'!Z123=0))="",FALSE,IF(ISERROR('Model inputs'!Z123=0),'Model inputs'!Z123=0,IF('Model inputs'!Z123="","",'Model inputs'!Z123=0))),"Cash-positive; no launch buffer","Cash-positive within flat forecast"),"Cash-burning; see runway")</f>
        <v>Cash-positive within flat forecast</v>
      </c>
      <c r="M25" t="str" s="13">
        <f>IF(IF(IF(ISERROR('Model inputs'!U83&gt;=0),'Model inputs'!U83&gt;=0,IF('Model inputs'!U83="","",'Model inputs'!U83&gt;=0))="",FALSE,IF(ISERROR('Model inputs'!U83&gt;=0),'Model inputs'!U83&gt;=0,IF('Model inputs'!U83="","",'Model inputs'!U83&gt;=0))),IF(IF(IF(ISERROR('Model inputs'!Z123=0),'Model inputs'!Z123=0,IF('Model inputs'!Z123="","",'Model inputs'!Z123=0))="",FALSE,IF(ISERROR('Model inputs'!Z123=0),'Model inputs'!Z123=0,IF('Model inputs'!Z123="","",'Model inputs'!Z123=0))),"Cash-positive; no launch buffer","Cash-positive within flat forecast"),"Cash-burning; see runway")</f>
        <v>Cash-positive within flat forecast</v>
      </c>
      <c r="N25" t="str" s="13">
        <f>IF(IF(IF(ISERROR('Model inputs'!V83&gt;=0),'Model inputs'!V83&gt;=0,IF('Model inputs'!V83="","",'Model inputs'!V83&gt;=0))="",FALSE,IF(ISERROR('Model inputs'!V83&gt;=0),'Model inputs'!V83&gt;=0,IF('Model inputs'!V83="","",'Model inputs'!V83&gt;=0))),IF(IF(IF(ISERROR('Model inputs'!Z123=0),'Model inputs'!Z123=0,IF('Model inputs'!Z123="","",'Model inputs'!Z123=0))="",FALSE,IF(ISERROR('Model inputs'!Z123=0),'Model inputs'!Z123=0,IF('Model inputs'!Z123="","",'Model inputs'!Z123=0))),"Cash-positive; no launch buffer","Cash-positive within flat forecast"),"Cash-burning; see runway")</f>
        <v>Cash-positive within flat forecast</v>
      </c>
      <c r="O25" t="str" s="13">
        <f>IF(IF(IF(ISERROR('Model inputs'!W83&gt;=0),'Model inputs'!W83&gt;=0,IF('Model inputs'!W83="","",'Model inputs'!W83&gt;=0))="",FALSE,IF(ISERROR('Model inputs'!W83&gt;=0),'Model inputs'!W83&gt;=0,IF('Model inputs'!W83="","",'Model inputs'!W83&gt;=0))),IF(IF(IF(ISERROR('Model inputs'!Z123=0),'Model inputs'!Z123=0,IF('Model inputs'!Z123="","",'Model inputs'!Z123=0))="",FALSE,IF(ISERROR('Model inputs'!Z123=0),'Model inputs'!Z123=0,IF('Model inputs'!Z123="","",'Model inputs'!Z123=0))),"Cash-positive; no launch buffer","Cash-positive within flat forecast"),"Cash-burning; see runway")</f>
        <v>Cash-positive within flat forecast</v>
      </c>
      <c r="P25" t="str" s="13">
        <f>IF(IF(IF(ISERROR('Model inputs'!X83&gt;=0),'Model inputs'!X83&gt;=0,IF('Model inputs'!X83="","",'Model inputs'!X83&gt;=0))="",FALSE,IF(ISERROR('Model inputs'!X83&gt;=0),'Model inputs'!X83&gt;=0,IF('Model inputs'!X83="","",'Model inputs'!X83&gt;=0))),IF(IF(IF(ISERROR('Model inputs'!Z123=0),'Model inputs'!Z123=0,IF('Model inputs'!Z123="","",'Model inputs'!Z123=0))="",FALSE,IF(ISERROR('Model inputs'!Z123=0),'Model inputs'!Z123=0,IF('Model inputs'!Z123="","",'Model inputs'!Z123=0))),"Cash-positive; no launch buffer","Cash-positive within flat forecast"),"Cash-burning; see runway")</f>
        <v>Cash-positive within flat forecast</v>
      </c>
      <c r="Q25" t="str" s="13">
        <f>IF(IF(IF(ISERROR('Model inputs'!Y83&gt;=0),'Model inputs'!Y83&gt;=0,IF('Model inputs'!Y83="","",'Model inputs'!Y83&gt;=0))="",FALSE,IF(ISERROR('Model inputs'!Y83&gt;=0),'Model inputs'!Y83&gt;=0,IF('Model inputs'!Y83="","",'Model inputs'!Y83&gt;=0))),IF(IF(IF(ISERROR('Model inputs'!Z123=0),'Model inputs'!Z123=0,IF('Model inputs'!Z123="","",'Model inputs'!Z123=0))="",FALSE,IF(ISERROR('Model inputs'!Z123=0),'Model inputs'!Z123=0,IF('Model inputs'!Z123="","",'Model inputs'!Z123=0))),"Cash-positive; no launch buffer","Cash-positive within flat forecast"),"Cash-burning; see runway")</f>
        <v>Cash-positive within flat forecast</v>
      </c>
    </row>
  </sheetData>
  <mergeCells count="1">
    <mergeCell ref="A1:Q1"/>
  </mergeCells>
</worksheet>
</file>

<file path=xl/worksheets/sheet2.xml><?xml version="1.0" encoding="utf-8"?>
<worksheet xmlns="http://schemas.openxmlformats.org/spreadsheetml/2006/main">
  <dimension ref="A1:B88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</cols>
  <sheetData>
    <row r="1" ht="32" customHeight="1">
      <c r="A1" t="inlineStr" s="1">
        <is>
          <t xml:space="preserve">Briefcase conversion and cost sensitivities</t>
        </is>
      </c>
    </row>
    <row r="2" ht="20" customHeight="1">
      <c r="A2" t="inlineStr" s="2">
        <is>
          <t xml:space="preserve">Briefcase — Runway &amp; decisions · Briefcase Base</t>
        </is>
      </c>
    </row>
    <row r="4" ht="22" customHeight="1">
      <c r="A4" t="inlineStr" s="3">
        <is>
          <t xml:space="preserve">Variable / dimension</t>
        </is>
      </c>
      <c r="B4" t="inlineStr" s="5">
        <is>
          <t xml:space="preserve">2026-10</t>
        </is>
      </c>
    </row>
    <row r="5">
      <c r="A5" t="inlineStr" s="6">
        <is>
          <t xml:space="preserve">Pro subscribers</t>
        </is>
      </c>
      <c r="B5" s="14">
        <f>'Model inputs'!Z22*'Model inputs'!Z34</f>
        <v>120</v>
      </c>
    </row>
    <row r="6">
      <c r="A6" t="inlineStr" s="12">
        <is>
          <t xml:space="preserve">Pro subscribers &gt; Briefcase Conservative</t>
        </is>
      </c>
      <c r="B6" s="13">
        <f>'Model inputs'!Z30*'Model inputs'!Z42</f>
        <v>40</v>
      </c>
    </row>
    <row r="7">
      <c r="A7" t="inlineStr" s="12">
        <is>
          <t xml:space="preserve">Pro subscribers &gt; Briefcase Conservative — doubled Crustdata</t>
        </is>
      </c>
      <c r="B7" s="13">
        <f>'Model inputs'!Z23*'Model inputs'!Z35</f>
        <v>40</v>
      </c>
    </row>
    <row r="8">
      <c r="A8" t="inlineStr" s="12">
        <is>
          <t xml:space="preserve">Pro subscribers &gt; Briefcase Conservative — 5% conversion</t>
        </is>
      </c>
      <c r="B8" s="13">
        <f>'Model inputs'!Z29*'Model inputs'!Z41</f>
        <v>20</v>
      </c>
    </row>
    <row r="9">
      <c r="A9" t="inlineStr" s="12">
        <is>
          <t xml:space="preserve">Pro subscribers &gt; Briefcase Conservative — 5% conversion — doubled Crustdata</t>
        </is>
      </c>
      <c r="B9" s="13">
        <f>'Model inputs'!Z25*'Model inputs'!Z37</f>
        <v>20</v>
      </c>
    </row>
    <row r="10">
      <c r="A10" t="inlineStr" s="12">
        <is>
          <t xml:space="preserve">Pro subscribers &gt; Briefcase Base — doubled Crustdata</t>
        </is>
      </c>
      <c r="B10" s="13">
        <f>'Model inputs'!Z33*'Model inputs'!Z45</f>
        <v>120</v>
      </c>
    </row>
    <row r="11">
      <c r="A11" t="inlineStr" s="12">
        <is>
          <t xml:space="preserve">Pro subscribers &gt; Briefcase Base — 5% conversion</t>
        </is>
      </c>
      <c r="B11" s="13">
        <f>'Model inputs'!Z31*'Model inputs'!Z43</f>
        <v>60</v>
      </c>
    </row>
    <row r="12">
      <c r="A12" t="inlineStr" s="12">
        <is>
          <t xml:space="preserve">Pro subscribers &gt; Briefcase Base — 5% conversion — doubled Crustdata</t>
        </is>
      </c>
      <c r="B12" s="13">
        <f>'Model inputs'!Z32*'Model inputs'!Z44</f>
        <v>60</v>
      </c>
    </row>
    <row r="13">
      <c r="A13" t="inlineStr" s="12">
        <is>
          <t xml:space="preserve">Pro subscribers &gt; Briefcase Growth</t>
        </is>
      </c>
      <c r="B13" s="13">
        <f>'Model inputs'!Z24*'Model inputs'!Z36</f>
        <v>400</v>
      </c>
    </row>
    <row r="14">
      <c r="A14" t="inlineStr" s="12">
        <is>
          <t xml:space="preserve">Pro subscribers &gt; Briefcase Growth — doubled Crustdata</t>
        </is>
      </c>
      <c r="B14" s="13">
        <f>'Model inputs'!Z28*'Model inputs'!Z40</f>
        <v>400</v>
      </c>
    </row>
    <row r="15">
      <c r="A15" t="inlineStr" s="12">
        <is>
          <t xml:space="preserve">Pro subscribers &gt; Briefcase Growth — 5% conversion</t>
        </is>
      </c>
      <c r="B15" s="13">
        <f>'Model inputs'!Z26*'Model inputs'!Z38</f>
        <v>200</v>
      </c>
    </row>
    <row r="16">
      <c r="A16" t="inlineStr" s="12">
        <is>
          <t xml:space="preserve">Pro subscribers &gt; Briefcase Growth — 5% conversion — doubled Crustdata</t>
        </is>
      </c>
      <c r="B16" s="13">
        <f>'Model inputs'!Z27*'Model inputs'!Z39</f>
        <v>200</v>
      </c>
    </row>
    <row r="17">
      <c r="A17" t="inlineStr" s="12">
        <is>
          <t xml:space="preserve">MRR</t>
        </is>
      </c>
      <c r="B17" s="9">
        <f>'Model inputs'!C108+'Model inputs'!C6</f>
        <v>3080</v>
      </c>
    </row>
    <row r="18">
      <c r="A18" t="inlineStr" s="12">
        <is>
          <t xml:space="preserve">MRR &gt; Briefcase Conservative</t>
        </is>
      </c>
      <c r="B18" s="9">
        <f>'Model inputs'!C116+'Model inputs'!C14</f>
        <v>760</v>
      </c>
    </row>
    <row r="19">
      <c r="A19" t="inlineStr" s="12">
        <is>
          <t xml:space="preserve">MRR &gt; Briefcase Conservative — doubled Crustdata</t>
        </is>
      </c>
      <c r="B19" s="9">
        <f>'Model inputs'!C109+'Model inputs'!C7</f>
        <v>760</v>
      </c>
    </row>
    <row r="20">
      <c r="A20" t="inlineStr" s="12">
        <is>
          <t xml:space="preserve">MRR &gt; Briefcase Conservative — 5% conversion</t>
        </is>
      </c>
      <c r="B20" s="9">
        <f>'Model inputs'!C115+'Model inputs'!C13</f>
        <v>380</v>
      </c>
    </row>
    <row r="21">
      <c r="A21" t="inlineStr" s="12">
        <is>
          <t xml:space="preserve">MRR &gt; Briefcase Conservative — 5% conversion — doubled Crustdata</t>
        </is>
      </c>
      <c r="B21" s="9">
        <f>'Model inputs'!C111+'Model inputs'!C9</f>
        <v>380</v>
      </c>
    </row>
    <row r="22">
      <c r="A22" t="inlineStr" s="12">
        <is>
          <t xml:space="preserve">MRR &gt; Briefcase Base — doubled Crustdata</t>
        </is>
      </c>
      <c r="B22" s="9">
        <f>'Model inputs'!C119+'Model inputs'!C17</f>
        <v>3080</v>
      </c>
    </row>
    <row r="23">
      <c r="A23" t="inlineStr" s="12">
        <is>
          <t xml:space="preserve">MRR &gt; Briefcase Base — 5% conversion</t>
        </is>
      </c>
      <c r="B23" s="9">
        <f>'Model inputs'!C117+'Model inputs'!C15</f>
        <v>1940</v>
      </c>
    </row>
    <row r="24">
      <c r="A24" t="inlineStr" s="12">
        <is>
          <t xml:space="preserve">MRR &gt; Briefcase Base — 5% conversion — doubled Crustdata</t>
        </is>
      </c>
      <c r="B24" s="9">
        <f>'Model inputs'!C118+'Model inputs'!C16</f>
        <v>1940</v>
      </c>
    </row>
    <row r="25">
      <c r="A25" t="inlineStr" s="12">
        <is>
          <t xml:space="preserve">MRR &gt; Briefcase Growth</t>
        </is>
      </c>
      <c r="B25" s="9">
        <f>'Model inputs'!C110+'Model inputs'!C8</f>
        <v>10800</v>
      </c>
    </row>
    <row r="26">
      <c r="A26" t="inlineStr" s="12">
        <is>
          <t xml:space="preserve">MRR &gt; Briefcase Growth — doubled Crustdata</t>
        </is>
      </c>
      <c r="B26" s="9">
        <f>'Model inputs'!C114+'Model inputs'!C12</f>
        <v>10800</v>
      </c>
    </row>
    <row r="27">
      <c r="A27" t="inlineStr" s="12">
        <is>
          <t xml:space="preserve">MRR &gt; Briefcase Growth — 5% conversion</t>
        </is>
      </c>
      <c r="B27" s="9">
        <f>'Model inputs'!C112+'Model inputs'!C10</f>
        <v>7000</v>
      </c>
    </row>
    <row r="28">
      <c r="A28" t="inlineStr" s="12">
        <is>
          <t xml:space="preserve">MRR &gt; Briefcase Growth — 5% conversion — doubled Crustdata</t>
        </is>
      </c>
      <c r="B28" s="9">
        <f>'Model inputs'!C113+'Model inputs'!C11</f>
        <v>7000</v>
      </c>
    </row>
    <row r="29">
      <c r="A29" t="inlineStr" s="12">
        <is>
          <t xml:space="preserve">Monthly COGS</t>
        </is>
      </c>
      <c r="B29" s="9">
        <f>'Model inputs'!C71*'Model inputs'!Z59</f>
        <v>1099.9999999999998</v>
      </c>
    </row>
    <row r="30">
      <c r="A30" t="inlineStr" s="12">
        <is>
          <t xml:space="preserve">Monthly COGS &gt; Briefcase Conservative</t>
        </is>
      </c>
      <c r="B30" s="9">
        <f>'Model inputs'!C79*'Model inputs'!Z67</f>
        <v>263.99999999999994</v>
      </c>
    </row>
    <row r="31">
      <c r="A31" t="inlineStr" s="12">
        <is>
          <t xml:space="preserve">Monthly COGS &gt; Briefcase Conservative — doubled Crustdata</t>
        </is>
      </c>
      <c r="B31" s="9">
        <f>'Model inputs'!C72*'Model inputs'!Z60</f>
        <v>360</v>
      </c>
    </row>
    <row r="32">
      <c r="A32" t="inlineStr" s="12">
        <is>
          <t xml:space="preserve">Monthly COGS &gt; Briefcase Conservative — 5% conversion</t>
        </is>
      </c>
      <c r="B32" s="9">
        <f>'Model inputs'!C78*'Model inputs'!Z66</f>
        <v>263.99999999999994</v>
      </c>
    </row>
    <row r="33">
      <c r="A33" t="inlineStr" s="12">
        <is>
          <t xml:space="preserve">Monthly COGS &gt; Briefcase Conservative — 5% conversion — doubled Crustdata</t>
        </is>
      </c>
      <c r="B33" s="9">
        <f>'Model inputs'!C74*'Model inputs'!Z62</f>
        <v>360</v>
      </c>
    </row>
    <row r="34">
      <c r="A34" t="inlineStr" s="12">
        <is>
          <t xml:space="preserve">Monthly COGS &gt; Briefcase Base — doubled Crustdata</t>
        </is>
      </c>
      <c r="B34" s="9">
        <f>'Model inputs'!C82*'Model inputs'!Z70</f>
        <v>1500</v>
      </c>
    </row>
    <row r="35">
      <c r="A35" t="inlineStr" s="12">
        <is>
          <t xml:space="preserve">Monthly COGS &gt; Briefcase Base — 5% conversion</t>
        </is>
      </c>
      <c r="B35" s="9">
        <f>'Model inputs'!C80*'Model inputs'!Z68</f>
        <v>1099.9999999999998</v>
      </c>
    </row>
    <row r="36">
      <c r="A36" t="inlineStr" s="12">
        <is>
          <t xml:space="preserve">Monthly COGS &gt; Briefcase Base — 5% conversion — doubled Crustdata</t>
        </is>
      </c>
      <c r="B36" s="9">
        <f>'Model inputs'!C81*'Model inputs'!Z69</f>
        <v>1500</v>
      </c>
    </row>
    <row r="37">
      <c r="A37" t="inlineStr" s="12">
        <is>
          <t xml:space="preserve">Monthly COGS &gt; Briefcase Growth</t>
        </is>
      </c>
      <c r="B37" s="9">
        <f>'Model inputs'!C73*'Model inputs'!Z61</f>
        <v>3959.9999999999995</v>
      </c>
    </row>
    <row r="38">
      <c r="A38" t="inlineStr" s="12">
        <is>
          <t xml:space="preserve">Monthly COGS &gt; Briefcase Growth — doubled Crustdata</t>
        </is>
      </c>
      <c r="B38" s="9">
        <f>'Model inputs'!C77*'Model inputs'!Z65</f>
        <v>5400</v>
      </c>
    </row>
    <row r="39">
      <c r="A39" t="inlineStr" s="12">
        <is>
          <t xml:space="preserve">Monthly COGS &gt; Briefcase Growth — 5% conversion</t>
        </is>
      </c>
      <c r="B39" s="9">
        <f>'Model inputs'!C75*'Model inputs'!Z63</f>
        <v>3959.9999999999995</v>
      </c>
    </row>
    <row r="40">
      <c r="A40" t="inlineStr" s="12">
        <is>
          <t xml:space="preserve">Monthly COGS &gt; Briefcase Growth — 5% conversion — doubled Crustdata</t>
        </is>
      </c>
      <c r="B40" s="9">
        <f>'Model inputs'!C76*'Model inputs'!Z64</f>
        <v>5400</v>
      </c>
    </row>
    <row r="41">
      <c r="A41" t="inlineStr" s="12">
        <is>
          <t xml:space="preserve">Gross profit</t>
        </is>
      </c>
      <c r="B41" s="9">
        <f>'Model inputs'!C96-'Briefcase conversion and cost s'!B29</f>
        <v>1980.0000000000002</v>
      </c>
    </row>
    <row r="42">
      <c r="A42" t="inlineStr" s="12">
        <is>
          <t xml:space="preserve">Gross profit &gt; Briefcase Conservative</t>
        </is>
      </c>
      <c r="B42" s="9">
        <f>'Model inputs'!C104-'Briefcase conversion and cost s'!B30</f>
        <v>496.00000000000006</v>
      </c>
    </row>
    <row r="43">
      <c r="A43" t="inlineStr" s="12">
        <is>
          <t xml:space="preserve">Gross profit &gt; Briefcase Conservative — doubled Crustdata</t>
        </is>
      </c>
      <c r="B43" s="9">
        <f>'Model inputs'!C97-'Briefcase conversion and cost s'!B31</f>
        <v>400</v>
      </c>
    </row>
    <row r="44">
      <c r="A44" t="inlineStr" s="12">
        <is>
          <t xml:space="preserve">Gross profit &gt; Briefcase Conservative — 5% conversion</t>
        </is>
      </c>
      <c r="B44" s="9">
        <f>'Model inputs'!C103-'Briefcase conversion and cost s'!B32</f>
        <v>116.00000000000006</v>
      </c>
    </row>
    <row r="45">
      <c r="A45" t="inlineStr" s="12">
        <is>
          <t xml:space="preserve">Gross profit &gt; Briefcase Conservative — 5% conversion — doubled Crustdata</t>
        </is>
      </c>
      <c r="B45" s="9">
        <f>'Model inputs'!C99-'Briefcase conversion and cost s'!B33</f>
        <v>20</v>
      </c>
    </row>
    <row r="46">
      <c r="A46" t="inlineStr" s="12">
        <is>
          <t xml:space="preserve">Gross profit &gt; Briefcase Base — doubled Crustdata</t>
        </is>
      </c>
      <c r="B46" s="9">
        <f>'Model inputs'!C107-'Briefcase conversion and cost s'!B34</f>
        <v>1580</v>
      </c>
    </row>
    <row r="47">
      <c r="A47" t="inlineStr" s="12">
        <is>
          <t xml:space="preserve">Gross profit &gt; Briefcase Base — 5% conversion</t>
        </is>
      </c>
      <c r="B47" s="9">
        <f>'Model inputs'!C105-'Briefcase conversion and cost s'!B35</f>
        <v>840.0000000000002</v>
      </c>
    </row>
    <row r="48">
      <c r="A48" t="inlineStr" s="12">
        <is>
          <t xml:space="preserve">Gross profit &gt; Briefcase Base — 5% conversion — doubled Crustdata</t>
        </is>
      </c>
      <c r="B48" s="9">
        <f>'Model inputs'!C106-'Briefcase conversion and cost s'!B36</f>
        <v>440</v>
      </c>
    </row>
    <row r="49">
      <c r="A49" t="inlineStr" s="12">
        <is>
          <t xml:space="preserve">Gross profit &gt; Briefcase Growth</t>
        </is>
      </c>
      <c r="B49" s="9">
        <f>'Model inputs'!C98-'Briefcase conversion and cost s'!B37</f>
        <v>6840</v>
      </c>
    </row>
    <row r="50">
      <c r="A50" t="inlineStr" s="12">
        <is>
          <t xml:space="preserve">Gross profit &gt; Briefcase Growth — doubled Crustdata</t>
        </is>
      </c>
      <c r="B50" s="9">
        <f>'Model inputs'!C102-'Briefcase conversion and cost s'!B38</f>
        <v>5400</v>
      </c>
    </row>
    <row r="51">
      <c r="A51" t="inlineStr" s="12">
        <is>
          <t xml:space="preserve">Gross profit &gt; Briefcase Growth — 5% conversion</t>
        </is>
      </c>
      <c r="B51" s="9">
        <f>'Model inputs'!C100-'Briefcase conversion and cost s'!B39</f>
        <v>3040.0000000000005</v>
      </c>
    </row>
    <row r="52">
      <c r="A52" t="inlineStr" s="12">
        <is>
          <t xml:space="preserve">Gross profit &gt; Briefcase Growth — 5% conversion — doubled Crustdata</t>
        </is>
      </c>
      <c r="B52" s="9">
        <f>'Model inputs'!C101-'Briefcase conversion and cost s'!B40</f>
        <v>1600</v>
      </c>
    </row>
    <row r="53">
      <c r="A53" t="inlineStr" s="12">
        <is>
          <t xml:space="preserve">Gross margin</t>
        </is>
      </c>
      <c r="B53" s="15">
        <f>IFERROR('Briefcase conversion and cost s'!B41/'Model inputs'!C96,"")</f>
        <v>0.6428571428571429</v>
      </c>
    </row>
    <row r="54">
      <c r="A54" t="inlineStr" s="12">
        <is>
          <t xml:space="preserve">Gross margin &gt; Briefcase Conservative</t>
        </is>
      </c>
      <c r="B54" s="15">
        <f>IFERROR('Briefcase conversion and cost s'!B42/'Model inputs'!C104,"")</f>
        <v>0.6526315789473685</v>
      </c>
    </row>
    <row r="55">
      <c r="A55" t="inlineStr" s="12">
        <is>
          <t xml:space="preserve">Gross margin &gt; Briefcase Conservative — doubled Crustdata</t>
        </is>
      </c>
      <c r="B55" s="15">
        <f>IFERROR('Briefcase conversion and cost s'!B43/'Model inputs'!C97,"")</f>
        <v>0.5263157894736842</v>
      </c>
    </row>
    <row r="56">
      <c r="A56" t="inlineStr" s="12">
        <is>
          <t xml:space="preserve">Gross margin &gt; Briefcase Conservative — 5% conversion</t>
        </is>
      </c>
      <c r="B56" s="15">
        <f>IFERROR('Briefcase conversion and cost s'!B44/'Model inputs'!C103,"")</f>
        <v>0.305263157894737</v>
      </c>
    </row>
    <row r="57">
      <c r="A57" t="inlineStr" s="12">
        <is>
          <t xml:space="preserve">Gross margin &gt; Briefcase Conservative — 5% conversion — doubled Crustdata</t>
        </is>
      </c>
      <c r="B57" s="15">
        <f>IFERROR('Briefcase conversion and cost s'!B45/'Model inputs'!C99,"")</f>
        <v>0.05263157894736842</v>
      </c>
    </row>
    <row r="58">
      <c r="A58" t="inlineStr" s="12">
        <is>
          <t xml:space="preserve">Gross margin &gt; Briefcase Base — doubled Crustdata</t>
        </is>
      </c>
      <c r="B58" s="15">
        <f>IFERROR('Briefcase conversion and cost s'!B46/'Model inputs'!C107,"")</f>
        <v>0.512987012987013</v>
      </c>
    </row>
    <row r="59">
      <c r="A59" t="inlineStr" s="12">
        <is>
          <t xml:space="preserve">Gross margin &gt; Briefcase Base — 5% conversion</t>
        </is>
      </c>
      <c r="B59" s="15">
        <f>IFERROR('Briefcase conversion and cost s'!B47/'Model inputs'!C105,"")</f>
        <v>0.4329896907216496</v>
      </c>
    </row>
    <row r="60">
      <c r="A60" t="inlineStr" s="12">
        <is>
          <t xml:space="preserve">Gross margin &gt; Briefcase Base — 5% conversion — doubled Crustdata</t>
        </is>
      </c>
      <c r="B60" s="15">
        <f>IFERROR('Briefcase conversion and cost s'!B48/'Model inputs'!C106,"")</f>
        <v>0.2268041237113402</v>
      </c>
    </row>
    <row r="61">
      <c r="A61" t="inlineStr" s="12">
        <is>
          <t xml:space="preserve">Gross margin &gt; Briefcase Growth</t>
        </is>
      </c>
      <c r="B61" s="15">
        <f>IFERROR('Briefcase conversion and cost s'!B49/'Model inputs'!C98,"")</f>
        <v>0.6333333333333333</v>
      </c>
    </row>
    <row r="62">
      <c r="A62" t="inlineStr" s="12">
        <is>
          <t xml:space="preserve">Gross margin &gt; Briefcase Growth — doubled Crustdata</t>
        </is>
      </c>
      <c r="B62" s="15">
        <f>IFERROR('Briefcase conversion and cost s'!B50/'Model inputs'!C102,"")</f>
        <v>0.5</v>
      </c>
    </row>
    <row r="63">
      <c r="A63" t="inlineStr" s="12">
        <is>
          <t xml:space="preserve">Gross margin &gt; Briefcase Growth — 5% conversion</t>
        </is>
      </c>
      <c r="B63" s="15">
        <f>IFERROR('Briefcase conversion and cost s'!B51/'Model inputs'!C100,"")</f>
        <v>0.43428571428571433</v>
      </c>
    </row>
    <row r="64">
      <c r="A64" t="inlineStr" s="12">
        <is>
          <t xml:space="preserve">Gross margin &gt; Briefcase Growth — 5% conversion — doubled Crustdata</t>
        </is>
      </c>
      <c r="B64" s="15">
        <f>IFERROR('Briefcase conversion and cost s'!B52/'Model inputs'!C101,"")</f>
        <v>0.22857142857142856</v>
      </c>
    </row>
    <row r="65">
      <c r="A65" t="inlineStr" s="12">
        <is>
          <t xml:space="preserve">Monthly cash flow</t>
        </is>
      </c>
      <c r="B65" s="9">
        <f>'Briefcase conversion and cost s'!B41-'Model inputs'!C84</f>
        <v>1810.0000000000002</v>
      </c>
    </row>
    <row r="66">
      <c r="A66" t="inlineStr" s="12">
        <is>
          <t xml:space="preserve">Monthly cash flow &gt; Briefcase Conservative</t>
        </is>
      </c>
      <c r="B66" s="9">
        <f>'Briefcase conversion and cost s'!B42-'Model inputs'!C92</f>
        <v>326.00000000000006</v>
      </c>
    </row>
    <row r="67">
      <c r="A67" t="inlineStr" s="12">
        <is>
          <t xml:space="preserve">Monthly cash flow &gt; Briefcase Conservative — doubled Crustdata</t>
        </is>
      </c>
      <c r="B67" s="9">
        <f>'Briefcase conversion and cost s'!B43-'Model inputs'!C85</f>
        <v>230</v>
      </c>
    </row>
    <row r="68">
      <c r="A68" t="inlineStr" s="12">
        <is>
          <t xml:space="preserve">Monthly cash flow &gt; Briefcase Conservative — 5% conversion</t>
        </is>
      </c>
      <c r="B68" s="9">
        <f>'Briefcase conversion and cost s'!B44-'Model inputs'!C91</f>
        <v>-53.99999999999994</v>
      </c>
    </row>
    <row r="69">
      <c r="A69" t="inlineStr" s="12">
        <is>
          <t xml:space="preserve">Monthly cash flow &gt; Briefcase Conservative — 5% conversion — doubled Crustdata</t>
        </is>
      </c>
      <c r="B69" s="9">
        <f>'Briefcase conversion and cost s'!B45-'Model inputs'!C87</f>
        <v>-150</v>
      </c>
    </row>
    <row r="70">
      <c r="A70" t="inlineStr" s="12">
        <is>
          <t xml:space="preserve">Monthly cash flow &gt; Briefcase Base — doubled Crustdata</t>
        </is>
      </c>
      <c r="B70" s="9">
        <f>'Briefcase conversion and cost s'!B46-'Model inputs'!C95</f>
        <v>1410</v>
      </c>
    </row>
    <row r="71">
      <c r="A71" t="inlineStr" s="12">
        <is>
          <t xml:space="preserve">Monthly cash flow &gt; Briefcase Base — 5% conversion</t>
        </is>
      </c>
      <c r="B71" s="9">
        <f>'Briefcase conversion and cost s'!B47-'Model inputs'!C93</f>
        <v>670.0000000000002</v>
      </c>
    </row>
    <row r="72">
      <c r="A72" t="inlineStr" s="12">
        <is>
          <t xml:space="preserve">Monthly cash flow &gt; Briefcase Base — 5% conversion — doubled Crustdata</t>
        </is>
      </c>
      <c r="B72" s="9">
        <f>'Briefcase conversion and cost s'!B48-'Model inputs'!C94</f>
        <v>270</v>
      </c>
    </row>
    <row r="73">
      <c r="A73" t="inlineStr" s="12">
        <is>
          <t xml:space="preserve">Monthly cash flow &gt; Briefcase Growth</t>
        </is>
      </c>
      <c r="B73" s="9">
        <f>'Briefcase conversion and cost s'!B49-'Model inputs'!C86</f>
        <v>6670</v>
      </c>
    </row>
    <row r="74">
      <c r="A74" t="inlineStr" s="12">
        <is>
          <t xml:space="preserve">Monthly cash flow &gt; Briefcase Growth — doubled Crustdata</t>
        </is>
      </c>
      <c r="B74" s="9">
        <f>'Briefcase conversion and cost s'!B50-'Model inputs'!C90</f>
        <v>5230</v>
      </c>
    </row>
    <row r="75">
      <c r="A75" t="inlineStr" s="12">
        <is>
          <t xml:space="preserve">Monthly cash flow &gt; Briefcase Growth — 5% conversion</t>
        </is>
      </c>
      <c r="B75" s="9">
        <f>'Briefcase conversion and cost s'!B51-'Model inputs'!C88</f>
        <v>2870.0000000000005</v>
      </c>
    </row>
    <row r="76">
      <c r="A76" t="inlineStr" s="12">
        <is>
          <t xml:space="preserve">Monthly cash flow &gt; Briefcase Growth — 5% conversion — doubled Crustdata</t>
        </is>
      </c>
      <c r="B76" s="9">
        <f>'Briefcase conversion and cost s'!B52-'Model inputs'!C89</f>
        <v>1430</v>
      </c>
    </row>
    <row r="77">
      <c r="A77" t="inlineStr" s="12">
        <is>
          <t xml:space="preserve">Full-allowance cash flow</t>
        </is>
      </c>
      <c r="B77" s="9">
        <f>'Model inputs'!C96-'Model inputs'!C47-'Model inputs'!C84</f>
        <v>-2017.999999999999</v>
      </c>
    </row>
    <row r="78">
      <c r="A78" t="inlineStr" s="12">
        <is>
          <t xml:space="preserve">Full-allowance cash flow &gt; Briefcase Conservative</t>
        </is>
      </c>
      <c r="B78" s="9">
        <f>'Model inputs'!C104-'Model inputs'!C55-'Model inputs'!C92</f>
        <v>-905.9999999999998</v>
      </c>
    </row>
    <row r="79">
      <c r="A79" t="inlineStr" s="12">
        <is>
          <t xml:space="preserve">Full-allowance cash flow &gt; Briefcase Conservative — doubled Crustdata</t>
        </is>
      </c>
      <c r="B79" s="9">
        <f>'Model inputs'!C97-'Model inputs'!C48-'Model inputs'!C85</f>
        <v>-1450</v>
      </c>
    </row>
    <row r="80">
      <c r="A80" t="inlineStr" s="12">
        <is>
          <t xml:space="preserve">Full-allowance cash flow &gt; Briefcase Conservative — 5% conversion</t>
        </is>
      </c>
      <c r="B80" s="9">
        <f>'Model inputs'!C103-'Model inputs'!C54-'Model inputs'!C91</f>
        <v>-1109.9999999999998</v>
      </c>
    </row>
    <row r="81">
      <c r="A81" t="inlineStr" s="12">
        <is>
          <t xml:space="preserve">Full-allowance cash flow &gt; Briefcase Conservative — 5% conversion — doubled Crustdata</t>
        </is>
      </c>
      <c r="B81" s="9">
        <f>'Model inputs'!C99-'Model inputs'!C50-'Model inputs'!C87</f>
        <v>-1590</v>
      </c>
    </row>
    <row r="82">
      <c r="A82" t="inlineStr" s="12">
        <is>
          <t xml:space="preserve">Full-allowance cash flow &gt; Briefcase Base — doubled Crustdata</t>
        </is>
      </c>
      <c r="B82" s="9">
        <f>'Model inputs'!C107-'Model inputs'!C58-'Model inputs'!C95</f>
        <v>-3810</v>
      </c>
    </row>
    <row r="83">
      <c r="A83" t="inlineStr" s="12">
        <is>
          <t xml:space="preserve">Full-allowance cash flow &gt; Briefcase Base — 5% conversion</t>
        </is>
      </c>
      <c r="B83" s="9">
        <f>'Model inputs'!C105-'Model inputs'!C56-'Model inputs'!C93</f>
        <v>-2629.999999999999</v>
      </c>
    </row>
    <row r="84">
      <c r="A84" t="inlineStr" s="12">
        <is>
          <t xml:space="preserve">Full-allowance cash flow &gt; Briefcase Base — 5% conversion — doubled Crustdata</t>
        </is>
      </c>
      <c r="B84" s="9">
        <f>'Model inputs'!C106-'Model inputs'!C57-'Model inputs'!C94</f>
        <v>-4230</v>
      </c>
    </row>
    <row r="85">
      <c r="A85" t="inlineStr" s="12">
        <is>
          <t xml:space="preserve">Full-allowance cash flow &gt; Briefcase Growth</t>
        </is>
      </c>
      <c r="B85" s="9">
        <f>'Model inputs'!C98-'Model inputs'!C49-'Model inputs'!C86</f>
        <v>-6089.999999999996</v>
      </c>
    </row>
    <row r="86">
      <c r="A86" t="inlineStr" s="12">
        <is>
          <t xml:space="preserve">Full-allowance cash flow &gt; Briefcase Growth — doubled Crustdata</t>
        </is>
      </c>
      <c r="B86" s="9">
        <f>'Model inputs'!C102-'Model inputs'!C53-'Model inputs'!C90</f>
        <v>-12170</v>
      </c>
    </row>
    <row r="87">
      <c r="A87" t="inlineStr" s="12">
        <is>
          <t xml:space="preserve">Full-allowance cash flow &gt; Briefcase Growth — 5% conversion</t>
        </is>
      </c>
      <c r="B87" s="9">
        <f>'Model inputs'!C100-'Model inputs'!C51-'Model inputs'!C88</f>
        <v>-8129.999999999998</v>
      </c>
    </row>
    <row r="88">
      <c r="A88" t="inlineStr" s="6">
        <is>
          <t xml:space="preserve">Full-allowance cash flow &gt; Briefcase Growth — 5% conversion — doubled Crustdata</t>
        </is>
      </c>
      <c r="B88" s="7">
        <f>'Model inputs'!C101-'Model inputs'!C52-'Model inputs'!C89</f>
        <v>-13570</v>
      </c>
    </row>
  </sheetData>
  <mergeCells count="1">
    <mergeCell ref="A1:B1"/>
  </mergeCells>
</worksheet>
</file>

<file path=xl/worksheets/sheet3.xml><?xml version="1.0" encoding="utf-8"?>
<worksheet xmlns="http://schemas.openxmlformats.org/spreadsheetml/2006/main">
  <dimension ref="A1:Q7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  <col min="3" max="3" width="19" customWidth="1"/>
    <col min="4" max="4" width="19" customWidth="1"/>
    <col min="5" max="5" width="19" customWidth="1"/>
    <col min="6" max="6" width="19" customWidth="1"/>
    <col min="7" max="7" width="19" customWidth="1"/>
    <col min="8" max="8" width="19" customWidth="1"/>
    <col min="9" max="9" width="19" customWidth="1"/>
    <col min="10" max="10" width="19" customWidth="1"/>
    <col min="11" max="11" width="19" customWidth="1"/>
    <col min="12" max="12" width="19" customWidth="1"/>
    <col min="13" max="13" width="19" customWidth="1"/>
    <col min="14" max="14" width="19" customWidth="1"/>
    <col min="15" max="15" width="19" customWidth="1"/>
    <col min="16" max="16" width="19" customWidth="1"/>
    <col min="17" max="17" width="19" customWidth="1"/>
  </cols>
  <sheetData>
    <row r="1" ht="32" customHeight="1">
      <c r="A1" t="inlineStr" s="1">
        <is>
          <t xml:space="preserve">Briefcase cash chart series</t>
        </is>
      </c>
    </row>
    <row r="2" ht="20" customHeight="1">
      <c r="A2" t="inlineStr" s="2">
        <is>
          <t xml:space="preserve">Briefcase — Runway &amp; decisions · Briefcase Base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2026-09</t>
        </is>
      </c>
      <c r="C4" t="inlineStr" s="5">
        <is>
          <t xml:space="preserve">2026-10</t>
        </is>
      </c>
      <c r="D4" t="inlineStr" s="4">
        <is>
          <t xml:space="preserve">2026-11</t>
        </is>
      </c>
      <c r="E4" t="inlineStr" s="4">
        <is>
          <t xml:space="preserve">2026-12</t>
        </is>
      </c>
      <c r="F4" t="inlineStr" s="5">
        <is>
          <t xml:space="preserve">2027-01</t>
        </is>
      </c>
      <c r="G4" t="inlineStr" s="4">
        <is>
          <t xml:space="preserve">2027-02</t>
        </is>
      </c>
      <c r="H4" t="inlineStr" s="4">
        <is>
          <t xml:space="preserve">2027-03</t>
        </is>
      </c>
      <c r="I4" t="inlineStr" s="5">
        <is>
          <t xml:space="preserve">2027-04</t>
        </is>
      </c>
      <c r="J4" t="inlineStr" s="4">
        <is>
          <t xml:space="preserve">2027-05</t>
        </is>
      </c>
      <c r="K4" t="inlineStr" s="4">
        <is>
          <t xml:space="preserve">2027-06</t>
        </is>
      </c>
      <c r="L4" t="inlineStr" s="5">
        <is>
          <t xml:space="preserve">2027-07</t>
        </is>
      </c>
      <c r="M4" t="inlineStr" s="4">
        <is>
          <t xml:space="preserve">2027-08</t>
        </is>
      </c>
      <c r="N4" t="inlineStr" s="4">
        <is>
          <t xml:space="preserve">2027-09</t>
        </is>
      </c>
      <c r="O4" t="inlineStr" s="5">
        <is>
          <t xml:space="preserve">2027-10</t>
        </is>
      </c>
      <c r="P4" t="inlineStr" s="4">
        <is>
          <t xml:space="preserve">2027-11</t>
        </is>
      </c>
      <c r="Q4" t="inlineStr" s="4">
        <is>
          <t xml:space="preserve">2027-12</t>
        </is>
      </c>
    </row>
    <row r="5">
      <c r="A5" t="inlineStr" s="6">
        <is>
          <t xml:space="preserve">Cash — bootstrapped</t>
        </is>
      </c>
      <c r="B5" s="7">
        <f>IF('Briefcase cash and runway'!B6="","",'Briefcase cash and runway'!B6)</f>
        <v>0</v>
      </c>
      <c r="C5" s="7">
        <f>IF('Briefcase cash and runway'!C6="","",'Briefcase cash and runway'!C6)</f>
        <v>1810.0000000000002</v>
      </c>
      <c r="D5" s="7">
        <f>IF('Briefcase cash and runway'!D6="","",'Briefcase cash and runway'!D6)</f>
        <v>3620.0000000000005</v>
      </c>
      <c r="E5" s="7">
        <f>IF('Briefcase cash and runway'!E6="","",'Briefcase cash and runway'!E6)</f>
        <v>5430.000000000001</v>
      </c>
      <c r="F5" s="7">
        <f>IF('Briefcase cash and runway'!F6="","",'Briefcase cash and runway'!F6)</f>
        <v>7240.000000000001</v>
      </c>
      <c r="G5" s="7">
        <f>IF('Briefcase cash and runway'!G6="","",'Briefcase cash and runway'!G6)</f>
        <v>9050.000000000002</v>
      </c>
      <c r="H5" s="7">
        <f>IF('Briefcase cash and runway'!H6="","",'Briefcase cash and runway'!H6)</f>
        <v>10860.000000000002</v>
      </c>
      <c r="I5" s="7">
        <f>IF('Briefcase cash and runway'!I6="","",'Briefcase cash and runway'!I6)</f>
        <v>12670.000000000002</v>
      </c>
      <c r="J5" s="7">
        <f>IF('Briefcase cash and runway'!J6="","",'Briefcase cash and runway'!J6)</f>
        <v>14480.000000000002</v>
      </c>
      <c r="K5" s="7">
        <f>IF('Briefcase cash and runway'!K6="","",'Briefcase cash and runway'!K6)</f>
        <v>16290.000000000002</v>
      </c>
      <c r="L5" s="7">
        <f>IF('Briefcase cash and runway'!L6="","",'Briefcase cash and runway'!L6)</f>
        <v>18100.000000000004</v>
      </c>
      <c r="M5" s="7">
        <f>IF('Briefcase cash and runway'!M6="","",'Briefcase cash and runway'!M6)</f>
        <v>19910.000000000004</v>
      </c>
      <c r="N5" s="7">
        <f>IF('Briefcase cash and runway'!N6="","",'Briefcase cash and runway'!N6)</f>
        <v>21720.000000000004</v>
      </c>
      <c r="O5" s="7">
        <f>IF('Briefcase cash and runway'!O6="","",'Briefcase cash and runway'!O6)</f>
        <v>23530.000000000004</v>
      </c>
      <c r="P5" s="7">
        <f>IF('Briefcase cash and runway'!P6="","",'Briefcase cash and runway'!P6)</f>
        <v>25340.000000000004</v>
      </c>
      <c r="Q5" s="7">
        <f>IF('Briefcase cash and runway'!Q6="","",'Briefcase cash and runway'!Q6)</f>
        <v>27150.000000000004</v>
      </c>
    </row>
    <row r="6">
      <c r="A6" t="inlineStr" s="12">
        <is>
          <t xml:space="preserve">Cash — lean launch</t>
        </is>
      </c>
      <c r="B6" s="9">
        <f>IF('Briefcase cash and runway'!B8="","",'Briefcase cash and runway'!B8)</f>
        <v>5000</v>
      </c>
      <c r="C6" s="9">
        <f>IF('Briefcase cash and runway'!C8="","",'Briefcase cash and runway'!C8)</f>
        <v>6810</v>
      </c>
      <c r="D6" s="9">
        <f>IF('Briefcase cash and runway'!D8="","",'Briefcase cash and runway'!D8)</f>
        <v>8620</v>
      </c>
      <c r="E6" s="9">
        <f>IF('Briefcase cash and runway'!E8="","",'Briefcase cash and runway'!E8)</f>
        <v>10430</v>
      </c>
      <c r="F6" s="9">
        <f>IF('Briefcase cash and runway'!F8="","",'Briefcase cash and runway'!F8)</f>
        <v>12240</v>
      </c>
      <c r="G6" s="9">
        <f>IF('Briefcase cash and runway'!G8="","",'Briefcase cash and runway'!G8)</f>
        <v>14050</v>
      </c>
      <c r="H6" s="9">
        <f>IF('Briefcase cash and runway'!H8="","",'Briefcase cash and runway'!H8)</f>
        <v>15860</v>
      </c>
      <c r="I6" s="9">
        <f>IF('Briefcase cash and runway'!I8="","",'Briefcase cash and runway'!I8)</f>
        <v>17670</v>
      </c>
      <c r="J6" s="9">
        <f>IF('Briefcase cash and runway'!J8="","",'Briefcase cash and runway'!J8)</f>
        <v>19480</v>
      </c>
      <c r="K6" s="9">
        <f>IF('Briefcase cash and runway'!K8="","",'Briefcase cash and runway'!K8)</f>
        <v>21290</v>
      </c>
      <c r="L6" s="9">
        <f>IF('Briefcase cash and runway'!L8="","",'Briefcase cash and runway'!L8)</f>
        <v>23100</v>
      </c>
      <c r="M6" s="9">
        <f>IF('Briefcase cash and runway'!M8="","",'Briefcase cash and runway'!M8)</f>
        <v>24910</v>
      </c>
      <c r="N6" s="9">
        <f>IF('Briefcase cash and runway'!N8="","",'Briefcase cash and runway'!N8)</f>
        <v>26720</v>
      </c>
      <c r="O6" s="9">
        <f>IF('Briefcase cash and runway'!O8="","",'Briefcase cash and runway'!O8)</f>
        <v>28530</v>
      </c>
      <c r="P6" s="9">
        <f>IF('Briefcase cash and runway'!P8="","",'Briefcase cash and runway'!P8)</f>
        <v>30340</v>
      </c>
      <c r="Q6" s="9">
        <f>IF('Briefcase cash and runway'!Q8="","",'Briefcase cash and runway'!Q8)</f>
        <v>32150</v>
      </c>
    </row>
    <row r="7">
      <c r="A7" t="inlineStr" s="6">
        <is>
          <t xml:space="preserve">Cash — pre-seed illustration</t>
        </is>
      </c>
      <c r="B7" s="7">
        <f>IF('Briefcase cash and runway'!B7="","",'Briefcase cash and runway'!B7)</f>
        <v>25000</v>
      </c>
      <c r="C7" s="7">
        <f>IF('Briefcase cash and runway'!C7="","",'Briefcase cash and runway'!C7)</f>
        <v>26810</v>
      </c>
      <c r="D7" s="7">
        <f>IF('Briefcase cash and runway'!D7="","",'Briefcase cash and runway'!D7)</f>
        <v>28620</v>
      </c>
      <c r="E7" s="7">
        <f>IF('Briefcase cash and runway'!E7="","",'Briefcase cash and runway'!E7)</f>
        <v>30430</v>
      </c>
      <c r="F7" s="7">
        <f>IF('Briefcase cash and runway'!F7="","",'Briefcase cash and runway'!F7)</f>
        <v>32240</v>
      </c>
      <c r="G7" s="7">
        <f>IF('Briefcase cash and runway'!G7="","",'Briefcase cash and runway'!G7)</f>
        <v>34050</v>
      </c>
      <c r="H7" s="7">
        <f>IF('Briefcase cash and runway'!H7="","",'Briefcase cash and runway'!H7)</f>
        <v>35860</v>
      </c>
      <c r="I7" s="7">
        <f>IF('Briefcase cash and runway'!I7="","",'Briefcase cash and runway'!I7)</f>
        <v>37670</v>
      </c>
      <c r="J7" s="7">
        <f>IF('Briefcase cash and runway'!J7="","",'Briefcase cash and runway'!J7)</f>
        <v>39480</v>
      </c>
      <c r="K7" s="7">
        <f>IF('Briefcase cash and runway'!K7="","",'Briefcase cash and runway'!K7)</f>
        <v>41290</v>
      </c>
      <c r="L7" s="7">
        <f>IF('Briefcase cash and runway'!L7="","",'Briefcase cash and runway'!L7)</f>
        <v>43100</v>
      </c>
      <c r="M7" s="7">
        <f>IF('Briefcase cash and runway'!M7="","",'Briefcase cash and runway'!M7)</f>
        <v>44910</v>
      </c>
      <c r="N7" s="7">
        <f>IF('Briefcase cash and runway'!N7="","",'Briefcase cash and runway'!N7)</f>
        <v>46720</v>
      </c>
      <c r="O7" s="7">
        <f>IF('Briefcase cash and runway'!O7="","",'Briefcase cash and runway'!O7)</f>
        <v>48530</v>
      </c>
      <c r="P7" s="7">
        <f>IF('Briefcase cash and runway'!P7="","",'Briefcase cash and runway'!P7)</f>
        <v>50340</v>
      </c>
      <c r="Q7" s="7">
        <f>IF('Briefcase cash and runway'!Q7="","",'Briefcase cash and runway'!Q7)</f>
        <v>52150</v>
      </c>
    </row>
  </sheetData>
  <mergeCells count="1">
    <mergeCell ref="A1:Q1"/>
  </mergeCells>
</worksheet>
</file>

<file path=xl/worksheets/sheet4.xml><?xml version="1.0" encoding="utf-8"?>
<worksheet xmlns="http://schemas.openxmlformats.org/spreadsheetml/2006/main">
  <dimension ref="A1:Z358"/>
  <sheetViews>
    <sheetView showGridLines="0" workbookViewId="0">
      <pane xSplit="1" ySplit="5" topLeftCell="B6" activePane="bottomRight" state="frozen"/>
      <selection pane="bottomRight" activeCell="B6" sqref="B6"/>
    </sheetView>
  </sheetViews>
  <sheetFormatPr defaultRowHeight="18"/>
  <cols>
    <col min="1" max="1" width="42" customWidth="1"/>
    <col min="2" max="2" width="19" customWidth="1"/>
    <col min="3" max="3" width="19" customWidth="1"/>
    <col min="4" max="4" width="19" customWidth="1"/>
    <col min="5" max="5" width="19" customWidth="1"/>
    <col min="6" max="6" width="19" customWidth="1"/>
    <col min="7" max="7" width="19" customWidth="1"/>
    <col min="8" max="8" width="19" customWidth="1"/>
    <col min="9" max="9" width="19" customWidth="1"/>
    <col min="10" max="10" width="19" customWidth="1"/>
    <col min="11" max="11" width="19" customWidth="1"/>
    <col min="12" max="12" width="19" customWidth="1"/>
    <col min="13" max="13" width="19" customWidth="1"/>
    <col min="14" max="14" width="19" customWidth="1"/>
    <col min="15" max="15" width="19" customWidth="1"/>
    <col min="16" max="16" width="19" customWidth="1"/>
    <col min="17" max="17" width="19" customWidth="1"/>
    <col min="18" max="18" width="19" customWidth="1"/>
    <col min="19" max="19" width="19" customWidth="1"/>
    <col min="20" max="20" width="19" customWidth="1"/>
    <col min="21" max="21" width="19" customWidth="1"/>
    <col min="22" max="22" width="19" customWidth="1"/>
    <col min="23" max="23" width="19" customWidth="1"/>
    <col min="24" max="24" width="19" customWidth="1"/>
    <col min="25" max="25" width="19" customWidth="1"/>
    <col min="26" max="26" width="19" customWidth="1"/>
  </cols>
  <sheetData>
    <row r="1" ht="32" customHeight="1">
      <c r="A1" t="inlineStr" s="1">
        <is>
          <t xml:space="preserve">Model inputs</t>
        </is>
      </c>
    </row>
    <row r="2" ht="20" customHeight="1">
      <c r="A2" t="inlineStr" s="2">
        <is>
          <t xml:space="preserve">Integration values are aggregated snapshots; raw source records are not included.</t>
        </is>
      </c>
    </row>
    <row r="4">
      <c r="A4" t="inlineStr" s="16">
        <is>
          <t xml:space="preserve">Variables</t>
        </is>
      </c>
    </row>
    <row r="5" ht="22" customHeight="1">
      <c r="A5" t="inlineStr" s="3">
        <is>
          <t xml:space="preserve">Variable / segment</t>
        </is>
      </c>
      <c r="B5" t="inlineStr" s="4">
        <is>
          <t xml:space="preserve">2026-09</t>
        </is>
      </c>
      <c r="C5" t="inlineStr" s="5">
        <is>
          <t xml:space="preserve">2026-10</t>
        </is>
      </c>
      <c r="D5" t="inlineStr" s="5">
        <is>
          <t xml:space="preserve">2026-01</t>
        </is>
      </c>
      <c r="E5" t="inlineStr" s="4">
        <is>
          <t xml:space="preserve">2026-02</t>
        </is>
      </c>
      <c r="F5" t="inlineStr" s="4">
        <is>
          <t xml:space="preserve">2026-03</t>
        </is>
      </c>
      <c r="G5" t="inlineStr" s="5">
        <is>
          <t xml:space="preserve">2026-04</t>
        </is>
      </c>
      <c r="H5" t="inlineStr" s="4">
        <is>
          <t xml:space="preserve">2026-05</t>
        </is>
      </c>
      <c r="I5" t="inlineStr" s="4">
        <is>
          <t xml:space="preserve">2026-06</t>
        </is>
      </c>
      <c r="J5" t="inlineStr" s="5">
        <is>
          <t xml:space="preserve">2026-07</t>
        </is>
      </c>
      <c r="K5" t="inlineStr" s="4">
        <is>
          <t xml:space="preserve">2026-08</t>
        </is>
      </c>
      <c r="L5" t="inlineStr" s="4">
        <is>
          <t xml:space="preserve">2026-11</t>
        </is>
      </c>
      <c r="M5" t="inlineStr" s="4">
        <is>
          <t xml:space="preserve">2026-12</t>
        </is>
      </c>
      <c r="N5" t="inlineStr" s="5">
        <is>
          <t xml:space="preserve">2027-01</t>
        </is>
      </c>
      <c r="O5" t="inlineStr" s="4">
        <is>
          <t xml:space="preserve">2027-02</t>
        </is>
      </c>
      <c r="P5" t="inlineStr" s="4">
        <is>
          <t xml:space="preserve">2027-03</t>
        </is>
      </c>
      <c r="Q5" t="inlineStr" s="5">
        <is>
          <t xml:space="preserve">2027-04</t>
        </is>
      </c>
      <c r="R5" t="inlineStr" s="4">
        <is>
          <t xml:space="preserve">2027-05</t>
        </is>
      </c>
      <c r="S5" t="inlineStr" s="4">
        <is>
          <t xml:space="preserve">2027-06</t>
        </is>
      </c>
      <c r="T5" t="inlineStr" s="5">
        <is>
          <t xml:space="preserve">2027-07</t>
        </is>
      </c>
      <c r="U5" t="inlineStr" s="4">
        <is>
          <t xml:space="preserve">2027-08</t>
        </is>
      </c>
      <c r="V5" t="inlineStr" s="4">
        <is>
          <t xml:space="preserve">2027-09</t>
        </is>
      </c>
      <c r="W5" t="inlineStr" s="5">
        <is>
          <t xml:space="preserve">2027-10</t>
        </is>
      </c>
      <c r="X5" t="inlineStr" s="4">
        <is>
          <t xml:space="preserve">2027-11</t>
        </is>
      </c>
      <c r="Y5" t="inlineStr" s="4">
        <is>
          <t xml:space="preserve">2027-12</t>
        </is>
      </c>
      <c r="Z5" t="inlineStr" s="4">
        <is>
          <t xml:space="preserve">Value</t>
        </is>
      </c>
    </row>
    <row r="6">
      <c r="A6" t="inlineStr" s="17">
        <is>
          <t xml:space="preserve">Career-center MRR · Briefcase Base</t>
        </is>
      </c>
      <c r="B6" s="13">
        <v>0</v>
      </c>
      <c r="C6" s="13">
        <f>'Model inputs'!C208*'Model inputs'!Z158</f>
        <v>800</v>
      </c>
    </row>
    <row r="7">
      <c r="A7" t="inlineStr" s="17">
        <is>
          <t xml:space="preserve">Career-center MRR · Briefcase Conservative — doubled Crustdata</t>
        </is>
      </c>
      <c r="C7" s="13">
        <f>'Model inputs'!C209*'Model inputs'!Z159</f>
        <v>0</v>
      </c>
    </row>
    <row r="8">
      <c r="A8" t="inlineStr" s="17">
        <is>
          <t xml:space="preserve">Career-center MRR · Briefcase Growth</t>
        </is>
      </c>
      <c r="C8" s="13">
        <f>'Model inputs'!C210*'Model inputs'!Z160</f>
        <v>3200</v>
      </c>
    </row>
    <row r="9">
      <c r="A9" t="inlineStr" s="17">
        <is>
          <t xml:space="preserve">Career-center MRR · Briefcase Conservative — 5% conversion — doubled Crustdata</t>
        </is>
      </c>
      <c r="C9" s="13">
        <f>'Model inputs'!C211*'Model inputs'!Z161</f>
        <v>0</v>
      </c>
    </row>
    <row r="10">
      <c r="A10" t="inlineStr" s="17">
        <is>
          <t xml:space="preserve">Career-center MRR · Briefcase Growth — 5% conversion</t>
        </is>
      </c>
      <c r="C10" s="13">
        <f>'Model inputs'!C212*'Model inputs'!Z162</f>
        <v>3200</v>
      </c>
    </row>
    <row r="11">
      <c r="A11" t="inlineStr" s="17">
        <is>
          <t xml:space="preserve">Career-center MRR · Briefcase Growth — 5% conversion — doubled Crustdata</t>
        </is>
      </c>
      <c r="C11" s="13">
        <f>'Model inputs'!C213*'Model inputs'!Z163</f>
        <v>3200</v>
      </c>
    </row>
    <row r="12">
      <c r="A12" t="inlineStr" s="17">
        <is>
          <t xml:space="preserve">Career-center MRR · Briefcase Growth — doubled Crustdata</t>
        </is>
      </c>
      <c r="C12" s="13">
        <f>'Model inputs'!C214*'Model inputs'!Z164</f>
        <v>3200</v>
      </c>
    </row>
    <row r="13">
      <c r="A13" t="inlineStr" s="17">
        <is>
          <t xml:space="preserve">Career-center MRR · Briefcase Conservative — 5% conversion</t>
        </is>
      </c>
      <c r="C13" s="13">
        <f>'Model inputs'!C215*'Model inputs'!Z165</f>
        <v>0</v>
      </c>
    </row>
    <row r="14">
      <c r="A14" t="inlineStr" s="17">
        <is>
          <t xml:space="preserve">Career-center MRR · Briefcase Conservative</t>
        </is>
      </c>
      <c r="C14" s="13">
        <f>'Model inputs'!C216*'Model inputs'!Z166</f>
        <v>0</v>
      </c>
    </row>
    <row r="15">
      <c r="A15" t="inlineStr" s="17">
        <is>
          <t xml:space="preserve">Career-center MRR · Briefcase Base — 5% conversion</t>
        </is>
      </c>
      <c r="C15" s="13">
        <f>'Model inputs'!C217*'Model inputs'!Z167</f>
        <v>800</v>
      </c>
    </row>
    <row r="16">
      <c r="A16" t="inlineStr" s="17">
        <is>
          <t xml:space="preserve">Career-center MRR · Briefcase Base — 5% conversion — doubled Crustdata</t>
        </is>
      </c>
      <c r="C16" s="13">
        <f>'Model inputs'!C218*'Model inputs'!Z168</f>
        <v>800</v>
      </c>
    </row>
    <row r="17">
      <c r="A17" t="inlineStr" s="17">
        <is>
          <t xml:space="preserve">Career-center MRR · Briefcase Base — doubled Crustdata</t>
        </is>
      </c>
      <c r="C17" s="13">
        <f>'Model inputs'!C219*'Model inputs'!Z169</f>
        <v>800</v>
      </c>
    </row>
    <row r="18">
      <c r="A18" t="inlineStr" s="17">
        <is>
          <t xml:space="preserve">Cash balance</t>
        </is>
      </c>
      <c r="B18" t="str" s="7">
        <f>""</f>
        <v/>
      </c>
      <c r="C18" t="str" s="7">
        <f>""</f>
        <v/>
      </c>
      <c r="D18" t="str" s="7">
        <f>""</f>
        <v/>
      </c>
      <c r="E18" t="str" s="7">
        <f>""</f>
        <v/>
      </c>
      <c r="F18" t="str" s="7">
        <f>""</f>
        <v/>
      </c>
      <c r="G18" t="str" s="7">
        <f>""</f>
        <v/>
      </c>
      <c r="H18" t="str" s="7">
        <f>""</f>
        <v/>
      </c>
      <c r="I18" t="str" s="7">
        <f>""</f>
        <v/>
      </c>
      <c r="J18" t="str" s="7">
        <f>""</f>
        <v/>
      </c>
      <c r="K18" t="str" s="7">
        <f>""</f>
        <v/>
      </c>
      <c r="L18" t="str" s="7">
        <f>""</f>
        <v/>
      </c>
      <c r="M18" t="str" s="7">
        <f>""</f>
        <v/>
      </c>
      <c r="N18" t="str" s="7">
        <f>""</f>
        <v/>
      </c>
      <c r="O18" t="str" s="7">
        <f>""</f>
        <v/>
      </c>
      <c r="P18" t="str" s="7">
        <f>""</f>
        <v/>
      </c>
      <c r="Q18" t="str" s="7">
        <f>""</f>
        <v/>
      </c>
      <c r="R18" t="str" s="7">
        <f>""</f>
        <v/>
      </c>
      <c r="S18" t="str" s="7">
        <f>""</f>
        <v/>
      </c>
      <c r="T18" t="str" s="7">
        <f>""</f>
        <v/>
      </c>
      <c r="U18" t="str" s="7">
        <f>""</f>
        <v/>
      </c>
      <c r="V18" t="str" s="7">
        <f>""</f>
        <v/>
      </c>
      <c r="W18" t="str" s="7">
        <f>""</f>
        <v/>
      </c>
      <c r="X18" t="str" s="7">
        <f>""</f>
        <v/>
      </c>
      <c r="Y18" t="str" s="7">
        <f>""</f>
        <v/>
      </c>
    </row>
    <row r="19" outlineLevel="1">
      <c r="A19" t="inlineStr" s="18">
        <is>
          <t xml:space="preserve">Cash balance &gt; Bootstrapped — $0</t>
        </is>
      </c>
      <c r="B19" s="9">
        <f>IF('Model inputs'!Z121="","",'Model inputs'!Z121)</f>
        <v>0</v>
      </c>
      <c r="C19" s="9">
        <f>'Model inputs'!B19+'Model inputs'!C83</f>
        <v>1810.0000000000002</v>
      </c>
      <c r="D19" s="9">
        <f>IF('Model inputs'!Z121="","",'Model inputs'!Z121)</f>
        <v>0</v>
      </c>
      <c r="E19" s="9">
        <f>IF('Model inputs'!Z121="","",'Model inputs'!Z121)</f>
        <v>0</v>
      </c>
      <c r="F19" s="9">
        <f>IF('Model inputs'!Z121="","",'Model inputs'!Z121)</f>
        <v>0</v>
      </c>
      <c r="G19" s="9">
        <f>IF('Model inputs'!Z121="","",'Model inputs'!Z121)</f>
        <v>0</v>
      </c>
      <c r="H19" s="9">
        <f>IF('Model inputs'!Z121="","",'Model inputs'!Z121)</f>
        <v>0</v>
      </c>
      <c r="I19" s="9">
        <f>IF('Model inputs'!Z121="","",'Model inputs'!Z121)</f>
        <v>0</v>
      </c>
      <c r="J19" s="9">
        <f>IF('Model inputs'!Z121="","",'Model inputs'!Z121)</f>
        <v>0</v>
      </c>
      <c r="K19" s="9">
        <f>IF('Model inputs'!Z121="","",'Model inputs'!Z121)</f>
        <v>0</v>
      </c>
      <c r="L19" s="9">
        <f>'Model inputs'!C19+'Model inputs'!L83</f>
        <v>3620.0000000000005</v>
      </c>
      <c r="M19" s="9">
        <f>'Model inputs'!L19+'Model inputs'!M83</f>
        <v>5430.000000000001</v>
      </c>
      <c r="N19" s="9">
        <f>'Model inputs'!M19+'Model inputs'!N83</f>
        <v>7240.000000000001</v>
      </c>
      <c r="O19" s="9">
        <f>'Model inputs'!N19+'Model inputs'!O83</f>
        <v>9050.000000000002</v>
      </c>
      <c r="P19" s="9">
        <f>'Model inputs'!O19+'Model inputs'!P83</f>
        <v>10860.000000000002</v>
      </c>
      <c r="Q19" s="9">
        <f>'Model inputs'!P19+'Model inputs'!Q83</f>
        <v>12670.000000000002</v>
      </c>
      <c r="R19" s="9">
        <f>'Model inputs'!Q19+'Model inputs'!R83</f>
        <v>14480.000000000002</v>
      </c>
      <c r="S19" s="9">
        <f>'Model inputs'!R19+'Model inputs'!S83</f>
        <v>16290.000000000002</v>
      </c>
      <c r="T19" s="9">
        <f>'Model inputs'!S19+'Model inputs'!T83</f>
        <v>18100.000000000004</v>
      </c>
      <c r="U19" s="9">
        <f>'Model inputs'!T19+'Model inputs'!U83</f>
        <v>19910.000000000004</v>
      </c>
      <c r="V19" s="9">
        <f>'Model inputs'!U19+'Model inputs'!V83</f>
        <v>21720.000000000004</v>
      </c>
      <c r="W19" s="9">
        <f>'Model inputs'!V19+'Model inputs'!W83</f>
        <v>23530.000000000004</v>
      </c>
      <c r="X19" s="9">
        <f>'Model inputs'!W19+'Model inputs'!X83</f>
        <v>25340.000000000004</v>
      </c>
      <c r="Y19" s="9">
        <f>'Model inputs'!X19+'Model inputs'!Y83</f>
        <v>27150.000000000004</v>
      </c>
    </row>
    <row r="20" outlineLevel="1">
      <c r="A20" t="inlineStr" s="18">
        <is>
          <t xml:space="preserve">Cash balance &gt; Illustrative pre-seed — $25,000</t>
        </is>
      </c>
      <c r="B20" s="9">
        <f>IF('Model inputs'!Z122="","",'Model inputs'!Z122)</f>
        <v>25000</v>
      </c>
      <c r="C20" s="9">
        <f>'Model inputs'!B20+'Model inputs'!C83</f>
        <v>26810</v>
      </c>
      <c r="D20" s="9">
        <f>IF('Model inputs'!Z122="","",'Model inputs'!Z122)</f>
        <v>25000</v>
      </c>
      <c r="E20" s="9">
        <f>IF('Model inputs'!Z122="","",'Model inputs'!Z122)</f>
        <v>25000</v>
      </c>
      <c r="F20" s="9">
        <f>IF('Model inputs'!Z122="","",'Model inputs'!Z122)</f>
        <v>25000</v>
      </c>
      <c r="G20" s="9">
        <f>IF('Model inputs'!Z122="","",'Model inputs'!Z122)</f>
        <v>25000</v>
      </c>
      <c r="H20" s="9">
        <f>IF('Model inputs'!Z122="","",'Model inputs'!Z122)</f>
        <v>25000</v>
      </c>
      <c r="I20" s="9">
        <f>IF('Model inputs'!Z122="","",'Model inputs'!Z122)</f>
        <v>25000</v>
      </c>
      <c r="J20" s="9">
        <f>IF('Model inputs'!Z122="","",'Model inputs'!Z122)</f>
        <v>25000</v>
      </c>
      <c r="K20" s="9">
        <f>IF('Model inputs'!Z122="","",'Model inputs'!Z122)</f>
        <v>25000</v>
      </c>
      <c r="L20" s="9">
        <f>'Model inputs'!C20+'Model inputs'!L83</f>
        <v>28620</v>
      </c>
      <c r="M20" s="9">
        <f>'Model inputs'!L20+'Model inputs'!M83</f>
        <v>30430</v>
      </c>
      <c r="N20" s="9">
        <f>'Model inputs'!M20+'Model inputs'!N83</f>
        <v>32240</v>
      </c>
      <c r="O20" s="9">
        <f>'Model inputs'!N20+'Model inputs'!O83</f>
        <v>34050</v>
      </c>
      <c r="P20" s="9">
        <f>'Model inputs'!O20+'Model inputs'!P83</f>
        <v>35860</v>
      </c>
      <c r="Q20" s="9">
        <f>'Model inputs'!P20+'Model inputs'!Q83</f>
        <v>37670</v>
      </c>
      <c r="R20" s="9">
        <f>'Model inputs'!Q20+'Model inputs'!R83</f>
        <v>39480</v>
      </c>
      <c r="S20" s="9">
        <f>'Model inputs'!R20+'Model inputs'!S83</f>
        <v>41290</v>
      </c>
      <c r="T20" s="9">
        <f>'Model inputs'!S20+'Model inputs'!T83</f>
        <v>43100</v>
      </c>
      <c r="U20" s="9">
        <f>'Model inputs'!T20+'Model inputs'!U83</f>
        <v>44910</v>
      </c>
      <c r="V20" s="9">
        <f>'Model inputs'!U20+'Model inputs'!V83</f>
        <v>46720</v>
      </c>
      <c r="W20" s="9">
        <f>'Model inputs'!V20+'Model inputs'!W83</f>
        <v>48530</v>
      </c>
      <c r="X20" s="9">
        <f>'Model inputs'!W20+'Model inputs'!X83</f>
        <v>50340</v>
      </c>
      <c r="Y20" s="9">
        <f>'Model inputs'!X20+'Model inputs'!Y83</f>
        <v>52150</v>
      </c>
    </row>
    <row r="21" outlineLevel="1">
      <c r="A21" t="inlineStr" s="18">
        <is>
          <t xml:space="preserve">Cash balance &gt; Lean launch — $5,000</t>
        </is>
      </c>
      <c r="B21" s="9">
        <f>IF('Model inputs'!Z123="","",'Model inputs'!Z123)</f>
        <v>5000</v>
      </c>
      <c r="C21" s="9">
        <f>'Model inputs'!B21+'Model inputs'!C83</f>
        <v>6810</v>
      </c>
      <c r="D21" s="9">
        <f>IF('Model inputs'!Z123="","",'Model inputs'!Z123)</f>
        <v>5000</v>
      </c>
      <c r="E21" s="9">
        <f>IF('Model inputs'!Z123="","",'Model inputs'!Z123)</f>
        <v>5000</v>
      </c>
      <c r="F21" s="9">
        <f>IF('Model inputs'!Z123="","",'Model inputs'!Z123)</f>
        <v>5000</v>
      </c>
      <c r="G21" s="9">
        <f>IF('Model inputs'!Z123="","",'Model inputs'!Z123)</f>
        <v>5000</v>
      </c>
      <c r="H21" s="9">
        <f>IF('Model inputs'!Z123="","",'Model inputs'!Z123)</f>
        <v>5000</v>
      </c>
      <c r="I21" s="9">
        <f>IF('Model inputs'!Z123="","",'Model inputs'!Z123)</f>
        <v>5000</v>
      </c>
      <c r="J21" s="9">
        <f>IF('Model inputs'!Z123="","",'Model inputs'!Z123)</f>
        <v>5000</v>
      </c>
      <c r="K21" s="9">
        <f>IF('Model inputs'!Z123="","",'Model inputs'!Z123)</f>
        <v>5000</v>
      </c>
      <c r="L21" s="9">
        <f>'Model inputs'!C21+'Model inputs'!L83</f>
        <v>8620</v>
      </c>
      <c r="M21" s="9">
        <f>'Model inputs'!L21+'Model inputs'!M83</f>
        <v>10430</v>
      </c>
      <c r="N21" s="9">
        <f>'Model inputs'!M21+'Model inputs'!N83</f>
        <v>12240</v>
      </c>
      <c r="O21" s="9">
        <f>'Model inputs'!N21+'Model inputs'!O83</f>
        <v>14050</v>
      </c>
      <c r="P21" s="9">
        <f>'Model inputs'!O21+'Model inputs'!P83</f>
        <v>15860</v>
      </c>
      <c r="Q21" s="9">
        <f>'Model inputs'!P21+'Model inputs'!Q83</f>
        <v>17670</v>
      </c>
      <c r="R21" s="9">
        <f>'Model inputs'!Q21+'Model inputs'!R83</f>
        <v>19480</v>
      </c>
      <c r="S21" s="9">
        <f>'Model inputs'!R21+'Model inputs'!S83</f>
        <v>21290</v>
      </c>
      <c r="T21" s="9">
        <f>'Model inputs'!S21+'Model inputs'!T83</f>
        <v>23100</v>
      </c>
      <c r="U21" s="9">
        <f>'Model inputs'!T21+'Model inputs'!U83</f>
        <v>24910</v>
      </c>
      <c r="V21" s="9">
        <f>'Model inputs'!U21+'Model inputs'!V83</f>
        <v>26720</v>
      </c>
      <c r="W21" s="9">
        <f>'Model inputs'!V21+'Model inputs'!W83</f>
        <v>28530</v>
      </c>
      <c r="X21" s="9">
        <f>'Model inputs'!W21+'Model inputs'!X83</f>
        <v>30340</v>
      </c>
      <c r="Y21" s="9">
        <f>'Model inputs'!X21+'Model inputs'!Y83</f>
        <v>32150</v>
      </c>
    </row>
    <row r="22">
      <c r="A22" t="inlineStr" s="17">
        <is>
          <t xml:space="preserve">Free users · Briefcase Base</t>
        </is>
      </c>
      <c r="Z22" s="13">
        <f>1200</f>
        <v>1200</v>
      </c>
    </row>
    <row r="23">
      <c r="A23" t="inlineStr" s="17">
        <is>
          <t xml:space="preserve">Free users · Briefcase Conservative — doubled Crustdata</t>
        </is>
      </c>
      <c r="Z23" s="13">
        <f>400</f>
        <v>400</v>
      </c>
    </row>
    <row r="24">
      <c r="A24" t="inlineStr" s="17">
        <is>
          <t xml:space="preserve">Free users · Briefcase Growth</t>
        </is>
      </c>
      <c r="Z24" s="13">
        <f>4000</f>
        <v>4000</v>
      </c>
    </row>
    <row r="25">
      <c r="A25" t="inlineStr" s="17">
        <is>
          <t xml:space="preserve">Free users · Briefcase Conservative — 5% conversion — doubled Crustdata</t>
        </is>
      </c>
      <c r="Z25" s="13">
        <f>400</f>
        <v>400</v>
      </c>
    </row>
    <row r="26">
      <c r="A26" t="inlineStr" s="17">
        <is>
          <t xml:space="preserve">Free users · Briefcase Growth — 5% conversion</t>
        </is>
      </c>
      <c r="Z26" s="13">
        <f>4000</f>
        <v>4000</v>
      </c>
    </row>
    <row r="27">
      <c r="A27" t="inlineStr" s="17">
        <is>
          <t xml:space="preserve">Free users · Briefcase Growth — 5% conversion — doubled Crustdata</t>
        </is>
      </c>
      <c r="Z27" s="13">
        <f>4000</f>
        <v>4000</v>
      </c>
    </row>
    <row r="28">
      <c r="A28" t="inlineStr" s="17">
        <is>
          <t xml:space="preserve">Free users · Briefcase Growth — doubled Crustdata</t>
        </is>
      </c>
      <c r="Z28" s="13">
        <f>4000</f>
        <v>4000</v>
      </c>
    </row>
    <row r="29">
      <c r="A29" t="inlineStr" s="17">
        <is>
          <t xml:space="preserve">Free users · Briefcase Conservative — 5% conversion</t>
        </is>
      </c>
      <c r="Z29" s="13">
        <f>400</f>
        <v>400</v>
      </c>
    </row>
    <row r="30">
      <c r="A30" t="inlineStr" s="17">
        <is>
          <t xml:space="preserve">Free users · Briefcase Conservative</t>
        </is>
      </c>
      <c r="Z30" s="13">
        <f>400</f>
        <v>400</v>
      </c>
    </row>
    <row r="31">
      <c r="A31" t="inlineStr" s="17">
        <is>
          <t xml:space="preserve">Free users · Briefcase Base — 5% conversion</t>
        </is>
      </c>
      <c r="Z31" s="13">
        <f>'Model inputs'!Z22</f>
        <v>1200</v>
      </c>
    </row>
    <row r="32">
      <c r="A32" t="inlineStr" s="17">
        <is>
          <t xml:space="preserve">Free users · Briefcase Base — 5% conversion — doubled Crustdata</t>
        </is>
      </c>
      <c r="Z32" s="13">
        <f>'Model inputs'!Z22</f>
        <v>1200</v>
      </c>
    </row>
    <row r="33">
      <c r="A33" t="inlineStr" s="17">
        <is>
          <t xml:space="preserve">Free users · Briefcase Base — doubled Crustdata</t>
        </is>
      </c>
      <c r="Z33" s="13">
        <f>'Model inputs'!Z22</f>
        <v>1200</v>
      </c>
    </row>
    <row r="34">
      <c r="A34" t="inlineStr" s="17">
        <is>
          <t xml:space="preserve">Free-to-Pro conversion · Briefcase Base</t>
        </is>
      </c>
      <c r="Z34" s="15">
        <f>0.1</f>
        <v>0.1</v>
      </c>
    </row>
    <row r="35">
      <c r="A35" t="inlineStr" s="17">
        <is>
          <t xml:space="preserve">Free-to-Pro conversion · Briefcase Conservative — doubled Crustdata</t>
        </is>
      </c>
      <c r="Z35" s="15">
        <f>'Model inputs'!Z34</f>
        <v>0.1</v>
      </c>
    </row>
    <row r="36">
      <c r="A36" t="inlineStr" s="17">
        <is>
          <t xml:space="preserve">Free-to-Pro conversion · Briefcase Growth</t>
        </is>
      </c>
      <c r="Z36" s="15">
        <f>'Model inputs'!Z34</f>
        <v>0.1</v>
      </c>
    </row>
    <row r="37">
      <c r="A37" t="inlineStr" s="17">
        <is>
          <t xml:space="preserve">Free-to-Pro conversion · Briefcase Conservative — 5% conversion — doubled Crustdata</t>
        </is>
      </c>
      <c r="Z37" s="15">
        <f>0.05</f>
        <v>0.05</v>
      </c>
    </row>
    <row r="38">
      <c r="A38" t="inlineStr" s="17">
        <is>
          <t xml:space="preserve">Free-to-Pro conversion · Briefcase Growth — 5% conversion</t>
        </is>
      </c>
      <c r="Z38" s="15">
        <f>0.05</f>
        <v>0.05</v>
      </c>
    </row>
    <row r="39">
      <c r="A39" t="inlineStr" s="17">
        <is>
          <t xml:space="preserve">Free-to-Pro conversion · Briefcase Growth — 5% conversion — doubled Crustdata</t>
        </is>
      </c>
      <c r="Z39" s="15">
        <f>0.05</f>
        <v>0.05</v>
      </c>
    </row>
    <row r="40">
      <c r="A40" t="inlineStr" s="17">
        <is>
          <t xml:space="preserve">Free-to-Pro conversion · Briefcase Growth — doubled Crustdata</t>
        </is>
      </c>
      <c r="Z40" s="15">
        <f>'Model inputs'!Z34</f>
        <v>0.1</v>
      </c>
    </row>
    <row r="41">
      <c r="A41" t="inlineStr" s="17">
        <is>
          <t xml:space="preserve">Free-to-Pro conversion · Briefcase Conservative — 5% conversion</t>
        </is>
      </c>
      <c r="Z41" s="15">
        <f>0.05</f>
        <v>0.05</v>
      </c>
    </row>
    <row r="42">
      <c r="A42" t="inlineStr" s="17">
        <is>
          <t xml:space="preserve">Free-to-Pro conversion · Briefcase Conservative</t>
        </is>
      </c>
      <c r="Z42" s="15">
        <f>'Model inputs'!Z34</f>
        <v>0.1</v>
      </c>
    </row>
    <row r="43">
      <c r="A43" t="inlineStr" s="17">
        <is>
          <t xml:space="preserve">Free-to-Pro conversion · Briefcase Base — 5% conversion</t>
        </is>
      </c>
      <c r="Z43" s="15">
        <f>0.05</f>
        <v>0.05</v>
      </c>
    </row>
    <row r="44">
      <c r="A44" t="inlineStr" s="17">
        <is>
          <t xml:space="preserve">Free-to-Pro conversion · Briefcase Base — 5% conversion — doubled Crustdata</t>
        </is>
      </c>
      <c r="Z44" s="15">
        <f>0.05</f>
        <v>0.05</v>
      </c>
    </row>
    <row r="45">
      <c r="A45" t="inlineStr" s="17">
        <is>
          <t xml:space="preserve">Free-to-Pro conversion · Briefcase Base — doubled Crustdata</t>
        </is>
      </c>
      <c r="Z45" s="15">
        <f>'Model inputs'!Z34</f>
        <v>0.1</v>
      </c>
    </row>
    <row r="46">
      <c r="A46" t="inlineStr" s="17">
        <is>
          <t xml:space="preserve">Full-allowance cash flow</t>
        </is>
      </c>
      <c r="B46" s="9">
        <v>0</v>
      </c>
      <c r="C46" s="9">
        <f>'Model inputs'!C96-'Model inputs'!C47-'Model inputs'!C84</f>
        <v>-2017.999999999999</v>
      </c>
      <c r="L46" s="9">
        <f>'Model inputs'!L221-'Model inputs'!L206-'Model inputs'!L220</f>
        <v>-2017.999999999999</v>
      </c>
      <c r="M46" s="9">
        <f>'Model inputs'!M221-'Model inputs'!M206-'Model inputs'!M220</f>
        <v>-2017.999999999999</v>
      </c>
      <c r="N46" s="9">
        <f>'Model inputs'!N221-'Model inputs'!N206-'Model inputs'!N220</f>
        <v>-2017.999999999999</v>
      </c>
      <c r="O46" s="9">
        <f>'Model inputs'!O221-'Model inputs'!O206-'Model inputs'!O220</f>
        <v>-2017.999999999999</v>
      </c>
      <c r="P46" s="9">
        <f>'Model inputs'!P221-'Model inputs'!P206-'Model inputs'!P220</f>
        <v>-2017.999999999999</v>
      </c>
      <c r="Q46" s="9">
        <f>'Model inputs'!Q221-'Model inputs'!Q206-'Model inputs'!Q220</f>
        <v>-2017.999999999999</v>
      </c>
      <c r="R46" s="9">
        <f>'Model inputs'!R221-'Model inputs'!R206-'Model inputs'!R220</f>
        <v>-2017.999999999999</v>
      </c>
      <c r="S46" s="9">
        <f>'Model inputs'!S221-'Model inputs'!S206-'Model inputs'!S220</f>
        <v>-2017.999999999999</v>
      </c>
      <c r="T46" s="9">
        <f>'Model inputs'!T221-'Model inputs'!T206-'Model inputs'!T220</f>
        <v>-2017.999999999999</v>
      </c>
      <c r="U46" s="9">
        <f>'Model inputs'!U221-'Model inputs'!U206-'Model inputs'!U220</f>
        <v>-2017.999999999999</v>
      </c>
      <c r="V46" s="9">
        <f>'Model inputs'!V221-'Model inputs'!V206-'Model inputs'!V220</f>
        <v>-2017.999999999999</v>
      </c>
      <c r="W46" s="9">
        <f>'Model inputs'!W221-'Model inputs'!W206-'Model inputs'!W220</f>
        <v>-2017.999999999999</v>
      </c>
      <c r="X46" s="9">
        <f>'Model inputs'!X221-'Model inputs'!X206-'Model inputs'!X220</f>
        <v>-2017.999999999999</v>
      </c>
      <c r="Y46" s="9">
        <f>'Model inputs'!Y221-'Model inputs'!Y206-'Model inputs'!Y220</f>
        <v>-2017.999999999999</v>
      </c>
    </row>
    <row r="47">
      <c r="A47" t="inlineStr" s="17">
        <is>
          <t xml:space="preserve">Full-allowance COGS · Briefcase conversion and cost sensitivities · Briefcase Base</t>
        </is>
      </c>
      <c r="B47" s="13">
        <v>0</v>
      </c>
      <c r="C47" s="13">
        <f>'Model inputs'!C194*'Model inputs'!Z59</f>
        <v>4927.999999999999</v>
      </c>
    </row>
    <row r="48">
      <c r="A48" t="inlineStr" s="17">
        <is>
          <t xml:space="preserve">Full-allowance COGS · Briefcase Conservative — doubled Crustdata</t>
        </is>
      </c>
      <c r="C48" s="13">
        <f>'Model inputs'!C195*'Model inputs'!Z60</f>
        <v>2040</v>
      </c>
    </row>
    <row r="49">
      <c r="A49" t="inlineStr" s="17">
        <is>
          <t xml:space="preserve">Full-allowance COGS · Briefcase Growth</t>
        </is>
      </c>
      <c r="C49" s="13">
        <f>'Model inputs'!C196*'Model inputs'!Z61</f>
        <v>16719.999999999996</v>
      </c>
    </row>
    <row r="50">
      <c r="A50" t="inlineStr" s="17">
        <is>
          <t xml:space="preserve">Full-allowance COGS · Briefcase Conservative — 5% conversion — doubled Crustdata</t>
        </is>
      </c>
      <c r="C50" s="13">
        <f>'Model inputs'!C197*'Model inputs'!Z62</f>
        <v>1800</v>
      </c>
    </row>
    <row r="51">
      <c r="A51" t="inlineStr" s="17">
        <is>
          <t xml:space="preserve">Full-allowance COGS · Briefcase Growth — 5% conversion</t>
        </is>
      </c>
      <c r="C51" s="13">
        <f>'Model inputs'!C198*'Model inputs'!Z63</f>
        <v>14959.999999999998</v>
      </c>
    </row>
    <row r="52">
      <c r="A52" t="inlineStr" s="17">
        <is>
          <t xml:space="preserve">Full-allowance COGS · Briefcase Growth — 5% conversion — doubled Crustdata</t>
        </is>
      </c>
      <c r="C52" s="13">
        <f>'Model inputs'!C199*'Model inputs'!Z64</f>
        <v>20400</v>
      </c>
    </row>
    <row r="53">
      <c r="A53" t="inlineStr" s="17">
        <is>
          <t xml:space="preserve">Full-allowance COGS · Briefcase Growth — doubled Crustdata</t>
        </is>
      </c>
      <c r="C53" s="13">
        <f>'Model inputs'!C200*'Model inputs'!Z65</f>
        <v>22800</v>
      </c>
    </row>
    <row r="54">
      <c r="A54" t="inlineStr" s="17">
        <is>
          <t xml:space="preserve">Full-allowance COGS · Briefcase Conservative — 5% conversion</t>
        </is>
      </c>
      <c r="C54" s="13">
        <f>'Model inputs'!C201*'Model inputs'!Z66</f>
        <v>1319.9999999999998</v>
      </c>
    </row>
    <row r="55">
      <c r="A55" t="inlineStr" s="17">
        <is>
          <t xml:space="preserve">Full-allowance COGS · Briefcase Conservative</t>
        </is>
      </c>
      <c r="C55" s="13">
        <f>'Model inputs'!C202*'Model inputs'!Z67</f>
        <v>1495.9999999999998</v>
      </c>
    </row>
    <row r="56">
      <c r="A56" t="inlineStr" s="17">
        <is>
          <t xml:space="preserve">Full-allowance COGS · Briefcase Base — 5% conversion</t>
        </is>
      </c>
      <c r="C56" s="13">
        <f>'Model inputs'!C203*'Model inputs'!Z68</f>
        <v>4399.999999999999</v>
      </c>
    </row>
    <row r="57">
      <c r="A57" t="inlineStr" s="17">
        <is>
          <t xml:space="preserve">Full-allowance COGS · Briefcase Base — 5% conversion — doubled Crustdata</t>
        </is>
      </c>
      <c r="C57" s="13">
        <f>'Model inputs'!C204*'Model inputs'!Z69</f>
        <v>6000</v>
      </c>
    </row>
    <row r="58">
      <c r="A58" t="inlineStr" s="17">
        <is>
          <t xml:space="preserve">Full-allowance COGS · Briefcase Base — doubled Crustdata</t>
        </is>
      </c>
      <c r="C58" s="13">
        <f>'Model inputs'!C205*'Model inputs'!Z70</f>
        <v>6720</v>
      </c>
    </row>
    <row r="59">
      <c r="A59" t="inlineStr" s="17">
        <is>
          <t xml:space="preserve">Modeled cost per brief · Briefcase conversion and cost sensitivities · Briefcase Base</t>
        </is>
      </c>
      <c r="Z59" s="19">
        <f>'Model inputs'!Z134+'Model inputs'!Z170-'Model inputs'!Z146</f>
        <v>0.21999999999999997</v>
      </c>
    </row>
    <row r="60">
      <c r="A60" t="inlineStr" s="17">
        <is>
          <t xml:space="preserve">Modeled cost per brief · Briefcase Conservative — doubled Crustdata</t>
        </is>
      </c>
      <c r="Z60" s="19">
        <f>'Model inputs'!Z135+'Model inputs'!Z171-'Model inputs'!Z147</f>
        <v>0.3</v>
      </c>
    </row>
    <row r="61">
      <c r="A61" t="inlineStr" s="17">
        <is>
          <t xml:space="preserve">Modeled cost per brief · Briefcase Growth</t>
        </is>
      </c>
      <c r="Z61" s="19">
        <f>'Model inputs'!Z136+'Model inputs'!Z172-'Model inputs'!Z148</f>
        <v>0.21999999999999997</v>
      </c>
    </row>
    <row r="62">
      <c r="A62" t="inlineStr" s="17">
        <is>
          <t xml:space="preserve">Modeled cost per brief · Briefcase Conservative — 5% conversion — doubled Crustdata</t>
        </is>
      </c>
      <c r="Z62" s="19">
        <f>'Model inputs'!Z137+'Model inputs'!Z173-'Model inputs'!Z149</f>
        <v>0.3</v>
      </c>
    </row>
    <row r="63">
      <c r="A63" t="inlineStr" s="17">
        <is>
          <t xml:space="preserve">Modeled cost per brief · Briefcase Growth — 5% conversion</t>
        </is>
      </c>
      <c r="Z63" s="19">
        <f>'Model inputs'!Z138+'Model inputs'!Z174-'Model inputs'!Z150</f>
        <v>0.21999999999999997</v>
      </c>
    </row>
    <row r="64">
      <c r="A64" t="inlineStr" s="17">
        <is>
          <t xml:space="preserve">Modeled cost per brief · Briefcase Growth — 5% conversion — doubled Crustdata</t>
        </is>
      </c>
      <c r="Z64" s="19">
        <f>'Model inputs'!Z139+'Model inputs'!Z175-'Model inputs'!Z151</f>
        <v>0.3</v>
      </c>
    </row>
    <row r="65">
      <c r="A65" t="inlineStr" s="17">
        <is>
          <t xml:space="preserve">Modeled cost per brief · Briefcase Growth — doubled Crustdata</t>
        </is>
      </c>
      <c r="Z65" s="19">
        <f>'Model inputs'!Z140+'Model inputs'!Z176-'Model inputs'!Z152</f>
        <v>0.3</v>
      </c>
    </row>
    <row r="66">
      <c r="A66" t="inlineStr" s="17">
        <is>
          <t xml:space="preserve">Modeled cost per brief · Briefcase Conservative — 5% conversion</t>
        </is>
      </c>
      <c r="Z66" s="19">
        <f>'Model inputs'!Z141+'Model inputs'!Z177-'Model inputs'!Z153</f>
        <v>0.21999999999999997</v>
      </c>
    </row>
    <row r="67">
      <c r="A67" t="inlineStr" s="17">
        <is>
          <t xml:space="preserve">Modeled cost per brief · Briefcase Conservative</t>
        </is>
      </c>
      <c r="Z67" s="19">
        <f>'Model inputs'!Z142+'Model inputs'!Z178-'Model inputs'!Z154</f>
        <v>0.21999999999999997</v>
      </c>
    </row>
    <row r="68">
      <c r="A68" t="inlineStr" s="17">
        <is>
          <t xml:space="preserve">Modeled cost per brief · Briefcase Base — 5% conversion</t>
        </is>
      </c>
      <c r="Z68" s="19">
        <f>'Model inputs'!Z143+'Model inputs'!Z179-'Model inputs'!Z155</f>
        <v>0.21999999999999997</v>
      </c>
    </row>
    <row r="69">
      <c r="A69" t="inlineStr" s="17">
        <is>
          <t xml:space="preserve">Modeled cost per brief · Briefcase Base — 5% conversion — doubled Crustdata</t>
        </is>
      </c>
      <c r="Z69" s="19">
        <f>'Model inputs'!Z144+'Model inputs'!Z180-'Model inputs'!Z156</f>
        <v>0.3</v>
      </c>
    </row>
    <row r="70">
      <c r="A70" t="inlineStr" s="17">
        <is>
          <t xml:space="preserve">Modeled cost per brief · Briefcase Base — doubled Crustdata</t>
        </is>
      </c>
      <c r="Z70" s="19">
        <f>'Model inputs'!Z145+'Model inputs'!Z181-'Model inputs'!Z157</f>
        <v>0.3</v>
      </c>
    </row>
    <row r="71">
      <c r="A71" t="inlineStr" s="17">
        <is>
          <t xml:space="preserve">Monthly briefs · Briefcase conversion and cost sensitivities · Briefcase Base</t>
        </is>
      </c>
      <c r="B71" s="13">
        <v>0</v>
      </c>
      <c r="C71" s="13">
        <f>IF('Model inputs'!Z246="","",'Model inputs'!Z246)</f>
        <v>5000</v>
      </c>
    </row>
    <row r="72">
      <c r="A72" t="inlineStr" s="17">
        <is>
          <t xml:space="preserve">Monthly briefs · Briefcase Conservative — doubled Crustdata</t>
        </is>
      </c>
      <c r="C72" s="13">
        <f>IF('Model inputs'!Z247="","",'Model inputs'!Z247)</f>
        <v>1200</v>
      </c>
    </row>
    <row r="73">
      <c r="A73" t="inlineStr" s="17">
        <is>
          <t xml:space="preserve">Monthly briefs · Briefcase Growth</t>
        </is>
      </c>
      <c r="C73" s="13">
        <f>IF('Model inputs'!Z248="","",'Model inputs'!Z248)</f>
        <v>18000</v>
      </c>
    </row>
    <row r="74">
      <c r="A74" t="inlineStr" s="17">
        <is>
          <t xml:space="preserve">Monthly briefs · Briefcase Conservative — 5% conversion — doubled Crustdata</t>
        </is>
      </c>
      <c r="C74" s="13">
        <f>IF('Model inputs'!Z249="","",'Model inputs'!Z249)</f>
        <v>1200</v>
      </c>
    </row>
    <row r="75">
      <c r="A75" t="inlineStr" s="17">
        <is>
          <t xml:space="preserve">Monthly briefs · Briefcase Growth — 5% conversion</t>
        </is>
      </c>
      <c r="C75" s="13">
        <f>IF('Model inputs'!Z250="","",'Model inputs'!Z250)</f>
        <v>18000</v>
      </c>
    </row>
    <row r="76">
      <c r="A76" t="inlineStr" s="17">
        <is>
          <t xml:space="preserve">Monthly briefs · Briefcase Growth — 5% conversion — doubled Crustdata</t>
        </is>
      </c>
      <c r="C76" s="13">
        <f>IF('Model inputs'!Z251="","",'Model inputs'!Z251)</f>
        <v>18000</v>
      </c>
    </row>
    <row r="77">
      <c r="A77" t="inlineStr" s="17">
        <is>
          <t xml:space="preserve">Monthly briefs · Briefcase Growth — doubled Crustdata</t>
        </is>
      </c>
      <c r="C77" s="13">
        <f>IF('Model inputs'!Z252="","",'Model inputs'!Z252)</f>
        <v>18000</v>
      </c>
    </row>
    <row r="78">
      <c r="A78" t="inlineStr" s="17">
        <is>
          <t xml:space="preserve">Monthly briefs · Briefcase Conservative — 5% conversion</t>
        </is>
      </c>
      <c r="C78" s="13">
        <f>IF('Model inputs'!Z253="","",'Model inputs'!Z253)</f>
        <v>1200</v>
      </c>
    </row>
    <row r="79">
      <c r="A79" t="inlineStr" s="17">
        <is>
          <t xml:space="preserve">Monthly briefs · Briefcase Conservative</t>
        </is>
      </c>
      <c r="C79" s="13">
        <f>IF('Model inputs'!Z254="","",'Model inputs'!Z254)</f>
        <v>1200</v>
      </c>
    </row>
    <row r="80">
      <c r="A80" t="inlineStr" s="17">
        <is>
          <t xml:space="preserve">Monthly briefs · Briefcase Base — 5% conversion</t>
        </is>
      </c>
      <c r="C80" s="13">
        <f>IF('Model inputs'!Z255="","",'Model inputs'!Z255)</f>
        <v>5000</v>
      </c>
    </row>
    <row r="81">
      <c r="A81" t="inlineStr" s="17">
        <is>
          <t xml:space="preserve">Monthly briefs · Briefcase Base — 5% conversion — doubled Crustdata</t>
        </is>
      </c>
      <c r="C81" s="13">
        <f>IF('Model inputs'!Z256="","",'Model inputs'!Z256)</f>
        <v>5000</v>
      </c>
    </row>
    <row r="82">
      <c r="A82" t="inlineStr" s="17">
        <is>
          <t xml:space="preserve">Monthly briefs · Briefcase Base — doubled Crustdata</t>
        </is>
      </c>
      <c r="C82" s="13">
        <f>IF('Model inputs'!Z257="","",'Model inputs'!Z257)</f>
        <v>5000</v>
      </c>
    </row>
    <row r="83">
      <c r="A83" t="inlineStr" s="17">
        <is>
          <t xml:space="preserve">Monthly cash flow · Briefcase cash and runway</t>
        </is>
      </c>
      <c r="B83" s="9">
        <v>0</v>
      </c>
      <c r="C83" s="9">
        <f>'Model inputs'!C124-'Model inputs'!C84</f>
        <v>1810.0000000000002</v>
      </c>
      <c r="L83" s="9">
        <f>'Model inputs'!L207-'Model inputs'!L220</f>
        <v>1810.0000000000002</v>
      </c>
      <c r="M83" s="9">
        <f>'Model inputs'!M207-'Model inputs'!M220</f>
        <v>1810.0000000000002</v>
      </c>
      <c r="N83" s="9">
        <f>'Model inputs'!N207-'Model inputs'!N220</f>
        <v>1810.0000000000002</v>
      </c>
      <c r="O83" s="9">
        <f>'Model inputs'!O207-'Model inputs'!O220</f>
        <v>1810.0000000000002</v>
      </c>
      <c r="P83" s="9">
        <f>'Model inputs'!P207-'Model inputs'!P220</f>
        <v>1810.0000000000002</v>
      </c>
      <c r="Q83" s="9">
        <f>'Model inputs'!Q207-'Model inputs'!Q220</f>
        <v>1810.0000000000002</v>
      </c>
      <c r="R83" s="9">
        <f>'Model inputs'!R207-'Model inputs'!R220</f>
        <v>1810.0000000000002</v>
      </c>
      <c r="S83" s="9">
        <f>'Model inputs'!S207-'Model inputs'!S220</f>
        <v>1810.0000000000002</v>
      </c>
      <c r="T83" s="9">
        <f>'Model inputs'!T207-'Model inputs'!T220</f>
        <v>1810.0000000000002</v>
      </c>
      <c r="U83" s="9">
        <f>'Model inputs'!U207-'Model inputs'!U220</f>
        <v>1810.0000000000002</v>
      </c>
      <c r="V83" s="9">
        <f>'Model inputs'!V207-'Model inputs'!V220</f>
        <v>1810.0000000000002</v>
      </c>
      <c r="W83" s="9">
        <f>'Model inputs'!W207-'Model inputs'!W220</f>
        <v>1810.0000000000002</v>
      </c>
      <c r="X83" s="9">
        <f>'Model inputs'!X207-'Model inputs'!X220</f>
        <v>1810.0000000000002</v>
      </c>
      <c r="Y83" s="9">
        <f>'Model inputs'!Y207-'Model inputs'!Y220</f>
        <v>1810.0000000000002</v>
      </c>
    </row>
    <row r="84">
      <c r="A84" t="inlineStr" s="17">
        <is>
          <t xml:space="preserve">Monthly fixed Opex · Briefcase conversion and cost sensitivities · Briefcase Base</t>
        </is>
      </c>
      <c r="B84" s="13">
        <v>0</v>
      </c>
      <c r="C84" s="13">
        <f>IF('Model inputs'!Z182="","",'Model inputs'!Z182)</f>
        <v>170</v>
      </c>
    </row>
    <row r="85">
      <c r="A85" t="inlineStr" s="17">
        <is>
          <t xml:space="preserve">Monthly fixed Opex · Briefcase Conservative — doubled Crustdata</t>
        </is>
      </c>
      <c r="C85" s="13">
        <f>IF('Model inputs'!Z183="","",'Model inputs'!Z183)</f>
        <v>170</v>
      </c>
    </row>
    <row r="86">
      <c r="A86" t="inlineStr" s="17">
        <is>
          <t xml:space="preserve">Monthly fixed Opex · Briefcase Growth</t>
        </is>
      </c>
      <c r="C86" s="13">
        <f>IF('Model inputs'!Z184="","",'Model inputs'!Z184)</f>
        <v>170</v>
      </c>
    </row>
    <row r="87">
      <c r="A87" t="inlineStr" s="17">
        <is>
          <t xml:space="preserve">Monthly fixed Opex · Briefcase Conservative — 5% conversion — doubled Crustdata</t>
        </is>
      </c>
      <c r="C87" s="13">
        <f>IF('Model inputs'!Z185="","",'Model inputs'!Z185)</f>
        <v>170</v>
      </c>
    </row>
    <row r="88">
      <c r="A88" t="inlineStr" s="17">
        <is>
          <t xml:space="preserve">Monthly fixed Opex · Briefcase Growth — 5% conversion</t>
        </is>
      </c>
      <c r="C88" s="13">
        <f>IF('Model inputs'!Z186="","",'Model inputs'!Z186)</f>
        <v>170</v>
      </c>
    </row>
    <row r="89">
      <c r="A89" t="inlineStr" s="17">
        <is>
          <t xml:space="preserve">Monthly fixed Opex · Briefcase Growth — 5% conversion — doubled Crustdata</t>
        </is>
      </c>
      <c r="C89" s="13">
        <f>IF('Model inputs'!Z187="","",'Model inputs'!Z187)</f>
        <v>170</v>
      </c>
    </row>
    <row r="90">
      <c r="A90" t="inlineStr" s="17">
        <is>
          <t xml:space="preserve">Monthly fixed Opex · Briefcase Growth — doubled Crustdata</t>
        </is>
      </c>
      <c r="C90" s="13">
        <f>IF('Model inputs'!Z188="","",'Model inputs'!Z188)</f>
        <v>170</v>
      </c>
    </row>
    <row r="91">
      <c r="A91" t="inlineStr" s="17">
        <is>
          <t xml:space="preserve">Monthly fixed Opex · Briefcase Conservative — 5% conversion</t>
        </is>
      </c>
      <c r="C91" s="13">
        <f>IF('Model inputs'!Z189="","",'Model inputs'!Z189)</f>
        <v>170</v>
      </c>
    </row>
    <row r="92">
      <c r="A92" t="inlineStr" s="17">
        <is>
          <t xml:space="preserve">Monthly fixed Opex · Briefcase Conservative</t>
        </is>
      </c>
      <c r="C92" s="13">
        <f>IF('Model inputs'!Z190="","",'Model inputs'!Z190)</f>
        <v>170</v>
      </c>
    </row>
    <row r="93">
      <c r="A93" t="inlineStr" s="17">
        <is>
          <t xml:space="preserve">Monthly fixed Opex · Briefcase Base — 5% conversion</t>
        </is>
      </c>
      <c r="C93" s="13">
        <f>IF('Model inputs'!Z191="","",'Model inputs'!Z191)</f>
        <v>170</v>
      </c>
    </row>
    <row r="94">
      <c r="A94" t="inlineStr" s="17">
        <is>
          <t xml:space="preserve">Monthly fixed Opex · Briefcase Base — 5% conversion — doubled Crustdata</t>
        </is>
      </c>
      <c r="C94" s="13">
        <f>IF('Model inputs'!Z192="","",'Model inputs'!Z192)</f>
        <v>170</v>
      </c>
    </row>
    <row r="95">
      <c r="A95" t="inlineStr" s="17">
        <is>
          <t xml:space="preserve">Monthly fixed Opex · Briefcase Base — doubled Crustdata</t>
        </is>
      </c>
      <c r="C95" s="13">
        <f>IF('Model inputs'!Z193="","",'Model inputs'!Z193)</f>
        <v>170</v>
      </c>
    </row>
    <row r="96">
      <c r="A96" t="inlineStr" s="17">
        <is>
          <t xml:space="preserve">Monthly revenue · Briefcase conversion and cost sensitivities · Briefcase Base</t>
        </is>
      </c>
      <c r="B96" s="9">
        <v>0</v>
      </c>
      <c r="C96" s="9">
        <f>'Model inputs'!C259+'Model inputs'!C222</f>
        <v>3080</v>
      </c>
    </row>
    <row r="97">
      <c r="A97" t="inlineStr" s="17">
        <is>
          <t xml:space="preserve">Monthly revenue · Briefcase Conservative — doubled Crustdata</t>
        </is>
      </c>
      <c r="C97" s="9">
        <f>'Briefcase conversion and cost s'!B19+'Model inputs'!C223</f>
        <v>760</v>
      </c>
    </row>
    <row r="98">
      <c r="A98" t="inlineStr" s="17">
        <is>
          <t xml:space="preserve">Monthly revenue · Briefcase Growth</t>
        </is>
      </c>
      <c r="C98" s="9">
        <f>'Briefcase conversion and cost s'!B25+'Model inputs'!C224</f>
        <v>10800</v>
      </c>
    </row>
    <row r="99">
      <c r="A99" t="inlineStr" s="17">
        <is>
          <t xml:space="preserve">Monthly revenue · Briefcase Conservative — 5% conversion — doubled Crustdata</t>
        </is>
      </c>
      <c r="C99" s="9">
        <f>'Briefcase conversion and cost s'!B21+'Model inputs'!C225</f>
        <v>380</v>
      </c>
    </row>
    <row r="100">
      <c r="A100" t="inlineStr" s="17">
        <is>
          <t xml:space="preserve">Monthly revenue · Briefcase Growth — 5% conversion</t>
        </is>
      </c>
      <c r="C100" s="9">
        <f>'Briefcase conversion and cost s'!B27+'Model inputs'!C226</f>
        <v>7000</v>
      </c>
    </row>
    <row r="101">
      <c r="A101" t="inlineStr" s="17">
        <is>
          <t xml:space="preserve">Monthly revenue · Briefcase Growth — 5% conversion — doubled Crustdata</t>
        </is>
      </c>
      <c r="C101" s="9">
        <f>'Briefcase conversion and cost s'!B28+'Model inputs'!C227</f>
        <v>7000</v>
      </c>
    </row>
    <row r="102">
      <c r="A102" t="inlineStr" s="17">
        <is>
          <t xml:space="preserve">Monthly revenue · Briefcase Growth — doubled Crustdata</t>
        </is>
      </c>
      <c r="C102" s="9">
        <f>'Briefcase conversion and cost s'!B26+'Model inputs'!C228</f>
        <v>10800</v>
      </c>
    </row>
    <row r="103">
      <c r="A103" t="inlineStr" s="17">
        <is>
          <t xml:space="preserve">Monthly revenue · Briefcase Conservative — 5% conversion</t>
        </is>
      </c>
      <c r="C103" s="9">
        <f>'Briefcase conversion and cost s'!B20+'Model inputs'!C229</f>
        <v>380</v>
      </c>
    </row>
    <row r="104">
      <c r="A104" t="inlineStr" s="17">
        <is>
          <t xml:space="preserve">Monthly revenue · Briefcase Conservative</t>
        </is>
      </c>
      <c r="C104" s="9">
        <f>'Briefcase conversion and cost s'!B18+'Model inputs'!C230</f>
        <v>760</v>
      </c>
    </row>
    <row r="105">
      <c r="A105" t="inlineStr" s="17">
        <is>
          <t xml:space="preserve">Monthly revenue · Briefcase Base — 5% conversion</t>
        </is>
      </c>
      <c r="C105" s="9">
        <f>'Briefcase conversion and cost s'!B23+'Model inputs'!C231</f>
        <v>1940</v>
      </c>
    </row>
    <row r="106">
      <c r="A106" t="inlineStr" s="17">
        <is>
          <t xml:space="preserve">Monthly revenue · Briefcase Base — 5% conversion — doubled Crustdata</t>
        </is>
      </c>
      <c r="C106" s="9">
        <f>'Briefcase conversion and cost s'!B24+'Model inputs'!C232</f>
        <v>1940</v>
      </c>
    </row>
    <row r="107">
      <c r="A107" t="inlineStr" s="17">
        <is>
          <t xml:space="preserve">Monthly revenue · Briefcase Base — doubled Crustdata</t>
        </is>
      </c>
      <c r="C107" s="9">
        <f>'Briefcase conversion and cost s'!B22+'Model inputs'!C233</f>
        <v>3080</v>
      </c>
    </row>
    <row r="108">
      <c r="A108" t="inlineStr" s="17">
        <is>
          <t xml:space="preserve">Pro MRR · Briefcase Base</t>
        </is>
      </c>
      <c r="B108" s="13">
        <v>0</v>
      </c>
      <c r="C108" s="13">
        <f>'Model inputs'!C260*'Model inputs'!Z234</f>
        <v>2280</v>
      </c>
    </row>
    <row r="109">
      <c r="A109" t="inlineStr" s="17">
        <is>
          <t xml:space="preserve">Pro MRR · Briefcase Conservative — doubled Crustdata</t>
        </is>
      </c>
      <c r="C109" s="13">
        <f>'Briefcase conversion and cost s'!B7*'Model inputs'!Z235</f>
        <v>760</v>
      </c>
    </row>
    <row r="110">
      <c r="A110" t="inlineStr" s="17">
        <is>
          <t xml:space="preserve">Pro MRR · Briefcase Growth</t>
        </is>
      </c>
      <c r="C110" s="13">
        <f>'Briefcase conversion and cost s'!B13*'Model inputs'!Z236</f>
        <v>7600</v>
      </c>
    </row>
    <row r="111">
      <c r="A111" t="inlineStr" s="17">
        <is>
          <t xml:space="preserve">Pro MRR · Briefcase Conservative — 5% conversion — doubled Crustdata</t>
        </is>
      </c>
      <c r="C111" s="13">
        <f>'Briefcase conversion and cost s'!B9*'Model inputs'!Z237</f>
        <v>380</v>
      </c>
    </row>
    <row r="112">
      <c r="A112" t="inlineStr" s="17">
        <is>
          <t xml:space="preserve">Pro MRR · Briefcase Growth — 5% conversion</t>
        </is>
      </c>
      <c r="C112" s="13">
        <f>'Briefcase conversion and cost s'!B15*'Model inputs'!Z238</f>
        <v>3800</v>
      </c>
    </row>
    <row r="113">
      <c r="A113" t="inlineStr" s="17">
        <is>
          <t xml:space="preserve">Pro MRR · Briefcase Growth — 5% conversion — doubled Crustdata</t>
        </is>
      </c>
      <c r="C113" s="13">
        <f>'Briefcase conversion and cost s'!B16*'Model inputs'!Z239</f>
        <v>3800</v>
      </c>
    </row>
    <row r="114">
      <c r="A114" t="inlineStr" s="17">
        <is>
          <t xml:space="preserve">Pro MRR · Briefcase Growth — doubled Crustdata</t>
        </is>
      </c>
      <c r="C114" s="13">
        <f>'Briefcase conversion and cost s'!B14*'Model inputs'!Z240</f>
        <v>7600</v>
      </c>
    </row>
    <row r="115">
      <c r="A115" t="inlineStr" s="17">
        <is>
          <t xml:space="preserve">Pro MRR · Briefcase Conservative — 5% conversion</t>
        </is>
      </c>
      <c r="C115" s="13">
        <f>'Briefcase conversion and cost s'!B8*'Model inputs'!Z241</f>
        <v>380</v>
      </c>
    </row>
    <row r="116">
      <c r="A116" t="inlineStr" s="17">
        <is>
          <t xml:space="preserve">Pro MRR · Briefcase Conservative</t>
        </is>
      </c>
      <c r="C116" s="13">
        <f>'Briefcase conversion and cost s'!B6*'Model inputs'!Z242</f>
        <v>760</v>
      </c>
    </row>
    <row r="117">
      <c r="A117" t="inlineStr" s="17">
        <is>
          <t xml:space="preserve">Pro MRR · Briefcase Base — 5% conversion</t>
        </is>
      </c>
      <c r="C117" s="13">
        <f>'Briefcase conversion and cost s'!B11*'Model inputs'!Z243</f>
        <v>1140</v>
      </c>
    </row>
    <row r="118">
      <c r="A118" t="inlineStr" s="17">
        <is>
          <t xml:space="preserve">Pro MRR · Briefcase Base — 5% conversion — doubled Crustdata</t>
        </is>
      </c>
      <c r="C118" s="13">
        <f>'Briefcase conversion and cost s'!B12*'Model inputs'!Z244</f>
        <v>1140</v>
      </c>
    </row>
    <row r="119">
      <c r="A119" t="inlineStr" s="17">
        <is>
          <t xml:space="preserve">Pro MRR · Briefcase Base — doubled Crustdata</t>
        </is>
      </c>
      <c r="C119" s="13">
        <f>'Briefcase conversion and cost s'!B10*'Model inputs'!Z245</f>
        <v>2280</v>
      </c>
    </row>
    <row r="120">
      <c r="A120" t="inlineStr" s="17">
        <is>
          <t xml:space="preserve">Starting cash</t>
        </is>
      </c>
      <c r="Z120" s="7">
        <v>0</v>
      </c>
    </row>
    <row r="121" outlineLevel="1">
      <c r="A121" t="inlineStr" s="18">
        <is>
          <t xml:space="preserve">Starting cash &gt; Bootstrapped — $0</t>
        </is>
      </c>
      <c r="Z121" s="9">
        <f>0</f>
        <v>0</v>
      </c>
    </row>
    <row r="122" outlineLevel="1">
      <c r="A122" t="inlineStr" s="18">
        <is>
          <t xml:space="preserve">Starting cash &gt; Illustrative pre-seed — $25,000</t>
        </is>
      </c>
      <c r="Z122" s="9">
        <f>25000</f>
        <v>25000</v>
      </c>
    </row>
    <row r="123" outlineLevel="1">
      <c r="A123" t="inlineStr" s="18">
        <is>
          <t xml:space="preserve">Starting cash &gt; Lean launch — $5,000</t>
        </is>
      </c>
      <c r="Z123" s="9">
        <f>5000</f>
        <v>5000</v>
      </c>
    </row>
    <row r="124">
      <c r="A124" t="inlineStr" s="17">
        <is>
          <t xml:space="preserve">Gross profit · Briefcase conversion and cost sensitivities</t>
        </is>
      </c>
      <c r="C124" s="9">
        <f>'Model inputs'!C96-'Model inputs'!C125</f>
        <v>1980.0000000000002</v>
      </c>
    </row>
    <row r="125">
      <c r="A125" t="inlineStr" s="17">
        <is>
          <t xml:space="preserve">Monthly COGS · Briefcase conversion and cost sensitivities</t>
        </is>
      </c>
      <c r="C125" s="9">
        <f>'Model inputs'!C71*'Model inputs'!Z59</f>
        <v>1099.9999999999998</v>
      </c>
    </row>
    <row r="126">
      <c r="A126" t="inlineStr" s="17">
        <is>
          <t xml:space="preserve">Full-allowance runway in months</t>
        </is>
      </c>
      <c r="B126" s="10">
        <f>SUM('Model inputs'!B127,'Model inputs'!B128,'Model inputs'!B129)</f>
        <v>0</v>
      </c>
      <c r="C126" t="str" s="10">
        <f>""</f>
        <v/>
      </c>
      <c r="L126" t="str" s="10">
        <f>""</f>
        <v/>
      </c>
      <c r="M126" t="str" s="10">
        <f>""</f>
        <v/>
      </c>
      <c r="N126" t="str" s="10">
        <f>""</f>
        <v/>
      </c>
      <c r="O126" t="str" s="10">
        <f>""</f>
        <v/>
      </c>
      <c r="P126" t="str" s="10">
        <f>""</f>
        <v/>
      </c>
      <c r="Q126" t="str" s="10">
        <f>""</f>
        <v/>
      </c>
      <c r="R126" t="str" s="10">
        <f>""</f>
        <v/>
      </c>
      <c r="S126" t="str" s="10">
        <f>""</f>
        <v/>
      </c>
      <c r="T126" t="str" s="10">
        <f>""</f>
        <v/>
      </c>
      <c r="U126" t="str" s="10">
        <f>""</f>
        <v/>
      </c>
      <c r="V126" t="str" s="10">
        <f>""</f>
        <v/>
      </c>
      <c r="W126" t="str" s="10">
        <f>""</f>
        <v/>
      </c>
      <c r="X126" t="str" s="10">
        <f>""</f>
        <v/>
      </c>
      <c r="Y126" t="str" s="10">
        <f>""</f>
        <v/>
      </c>
    </row>
    <row r="127" outlineLevel="1">
      <c r="A127" t="inlineStr" s="18">
        <is>
          <t xml:space="preserve">Full-allowance runway in months &gt; Bootstrapped — $0</t>
        </is>
      </c>
      <c r="B127" s="11">
        <f>'Briefcase cash and runway'!B18</f>
        <v>0</v>
      </c>
      <c r="C127" s="11">
        <f>IF(IF(IF(ISERROR('Model inputs'!C46&lt;0),'Model inputs'!C46&lt;0,IF('Model inputs'!C46="","",'Model inputs'!C46&lt;0))="",FALSE,IF(ISERROR('Model inputs'!C46&lt;0),'Model inputs'!C46&lt;0,IF('Model inputs'!C46="","",'Model inputs'!C46&lt;0))),'Model inputs'!Z121/-'Model inputs'!C46,"")</f>
        <v>0</v>
      </c>
      <c r="L127" s="11">
        <f>IF(IF(IF(ISERROR('Model inputs'!L46&lt;0),'Model inputs'!L46&lt;0,IF('Model inputs'!L46="","",'Model inputs'!L46&lt;0))="",FALSE,IF(ISERROR('Model inputs'!L46&lt;0),'Model inputs'!L46&lt;0,IF('Model inputs'!L46="","",'Model inputs'!L46&lt;0))),'Model inputs'!Z121/-'Model inputs'!L46,"")</f>
        <v>0</v>
      </c>
      <c r="M127" s="11">
        <f>IF(IF(IF(ISERROR('Model inputs'!M46&lt;0),'Model inputs'!M46&lt;0,IF('Model inputs'!M46="","",'Model inputs'!M46&lt;0))="",FALSE,IF(ISERROR('Model inputs'!M46&lt;0),'Model inputs'!M46&lt;0,IF('Model inputs'!M46="","",'Model inputs'!M46&lt;0))),'Model inputs'!Z121/-'Model inputs'!M46,"")</f>
        <v>0</v>
      </c>
      <c r="N127" s="11">
        <f>IF(IF(IF(ISERROR('Model inputs'!N46&lt;0),'Model inputs'!N46&lt;0,IF('Model inputs'!N46="","",'Model inputs'!N46&lt;0))="",FALSE,IF(ISERROR('Model inputs'!N46&lt;0),'Model inputs'!N46&lt;0,IF('Model inputs'!N46="","",'Model inputs'!N46&lt;0))),'Model inputs'!Z121/-'Model inputs'!N46,"")</f>
        <v>0</v>
      </c>
      <c r="O127" s="11">
        <f>IF(IF(IF(ISERROR('Model inputs'!O46&lt;0),'Model inputs'!O46&lt;0,IF('Model inputs'!O46="","",'Model inputs'!O46&lt;0))="",FALSE,IF(ISERROR('Model inputs'!O46&lt;0),'Model inputs'!O46&lt;0,IF('Model inputs'!O46="","",'Model inputs'!O46&lt;0))),'Model inputs'!Z121/-'Model inputs'!O46,"")</f>
        <v>0</v>
      </c>
      <c r="P127" s="11">
        <f>IF(IF(IF(ISERROR('Model inputs'!P46&lt;0),'Model inputs'!P46&lt;0,IF('Model inputs'!P46="","",'Model inputs'!P46&lt;0))="",FALSE,IF(ISERROR('Model inputs'!P46&lt;0),'Model inputs'!P46&lt;0,IF('Model inputs'!P46="","",'Model inputs'!P46&lt;0))),'Model inputs'!Z121/-'Model inputs'!P46,"")</f>
        <v>0</v>
      </c>
      <c r="Q127" s="11">
        <f>IF(IF(IF(ISERROR('Model inputs'!Q46&lt;0),'Model inputs'!Q46&lt;0,IF('Model inputs'!Q46="","",'Model inputs'!Q46&lt;0))="",FALSE,IF(ISERROR('Model inputs'!Q46&lt;0),'Model inputs'!Q46&lt;0,IF('Model inputs'!Q46="","",'Model inputs'!Q46&lt;0))),'Model inputs'!Z121/-'Model inputs'!Q46,"")</f>
        <v>0</v>
      </c>
      <c r="R127" s="11">
        <f>IF(IF(IF(ISERROR('Model inputs'!R46&lt;0),'Model inputs'!R46&lt;0,IF('Model inputs'!R46="","",'Model inputs'!R46&lt;0))="",FALSE,IF(ISERROR('Model inputs'!R46&lt;0),'Model inputs'!R46&lt;0,IF('Model inputs'!R46="","",'Model inputs'!R46&lt;0))),'Model inputs'!Z121/-'Model inputs'!R46,"")</f>
        <v>0</v>
      </c>
      <c r="S127" s="11">
        <f>IF(IF(IF(ISERROR('Model inputs'!S46&lt;0),'Model inputs'!S46&lt;0,IF('Model inputs'!S46="","",'Model inputs'!S46&lt;0))="",FALSE,IF(ISERROR('Model inputs'!S46&lt;0),'Model inputs'!S46&lt;0,IF('Model inputs'!S46="","",'Model inputs'!S46&lt;0))),'Model inputs'!Z121/-'Model inputs'!S46,"")</f>
        <v>0</v>
      </c>
      <c r="T127" s="11">
        <f>IF(IF(IF(ISERROR('Model inputs'!T46&lt;0),'Model inputs'!T46&lt;0,IF('Model inputs'!T46="","",'Model inputs'!T46&lt;0))="",FALSE,IF(ISERROR('Model inputs'!T46&lt;0),'Model inputs'!T46&lt;0,IF('Model inputs'!T46="","",'Model inputs'!T46&lt;0))),'Model inputs'!Z121/-'Model inputs'!T46,"")</f>
        <v>0</v>
      </c>
      <c r="U127" s="11">
        <f>IF(IF(IF(ISERROR('Model inputs'!U46&lt;0),'Model inputs'!U46&lt;0,IF('Model inputs'!U46="","",'Model inputs'!U46&lt;0))="",FALSE,IF(ISERROR('Model inputs'!U46&lt;0),'Model inputs'!U46&lt;0,IF('Model inputs'!U46="","",'Model inputs'!U46&lt;0))),'Model inputs'!Z121/-'Model inputs'!U46,"")</f>
        <v>0</v>
      </c>
      <c r="V127" s="11">
        <f>IF(IF(IF(ISERROR('Model inputs'!V46&lt;0),'Model inputs'!V46&lt;0,IF('Model inputs'!V46="","",'Model inputs'!V46&lt;0))="",FALSE,IF(ISERROR('Model inputs'!V46&lt;0),'Model inputs'!V46&lt;0,IF('Model inputs'!V46="","",'Model inputs'!V46&lt;0))),'Model inputs'!Z121/-'Model inputs'!V46,"")</f>
        <v>0</v>
      </c>
      <c r="W127" s="11">
        <f>IF(IF(IF(ISERROR('Model inputs'!W46&lt;0),'Model inputs'!W46&lt;0,IF('Model inputs'!W46="","",'Model inputs'!W46&lt;0))="",FALSE,IF(ISERROR('Model inputs'!W46&lt;0),'Model inputs'!W46&lt;0,IF('Model inputs'!W46="","",'Model inputs'!W46&lt;0))),'Model inputs'!Z121/-'Model inputs'!W46,"")</f>
        <v>0</v>
      </c>
      <c r="X127" s="11">
        <f>IF(IF(IF(ISERROR('Model inputs'!X46&lt;0),'Model inputs'!X46&lt;0,IF('Model inputs'!X46="","",'Model inputs'!X46&lt;0))="",FALSE,IF(ISERROR('Model inputs'!X46&lt;0),'Model inputs'!X46&lt;0,IF('Model inputs'!X46="","",'Model inputs'!X46&lt;0))),'Model inputs'!Z121/-'Model inputs'!X46,"")</f>
        <v>0</v>
      </c>
      <c r="Y127" s="11">
        <f>IF(IF(IF(ISERROR('Model inputs'!Y46&lt;0),'Model inputs'!Y46&lt;0,IF('Model inputs'!Y46="","",'Model inputs'!Y46&lt;0))="",FALSE,IF(ISERROR('Model inputs'!Y46&lt;0),'Model inputs'!Y46&lt;0,IF('Model inputs'!Y46="","",'Model inputs'!Y46&lt;0))),'Model inputs'!Z121/-'Model inputs'!Y46,"")</f>
        <v>0</v>
      </c>
    </row>
    <row r="128" outlineLevel="1">
      <c r="A128" t="inlineStr" s="18">
        <is>
          <t xml:space="preserve">Full-allowance runway in months &gt; Illustrative pre-seed — $25,000</t>
        </is>
      </c>
      <c r="B128" s="11">
        <f>'Briefcase cash and runway'!B19</f>
        <v>0</v>
      </c>
      <c r="C128" s="11">
        <f>IF(IF(IF(ISERROR('Model inputs'!C46&lt;0),'Model inputs'!C46&lt;0,IF('Model inputs'!C46="","",'Model inputs'!C46&lt;0))="",FALSE,IF(ISERROR('Model inputs'!C46&lt;0),'Model inputs'!C46&lt;0,IF('Model inputs'!C46="","",'Model inputs'!C46&lt;0))),'Model inputs'!Z122/-'Model inputs'!C46,"")</f>
        <v>12.388503468780977</v>
      </c>
      <c r="L128" s="11">
        <f>IF(IF(IF(ISERROR('Model inputs'!L46&lt;0),'Model inputs'!L46&lt;0,IF('Model inputs'!L46="","",'Model inputs'!L46&lt;0))="",FALSE,IF(ISERROR('Model inputs'!L46&lt;0),'Model inputs'!L46&lt;0,IF('Model inputs'!L46="","",'Model inputs'!L46&lt;0))),'Model inputs'!Z122/-'Model inputs'!L46,"")</f>
        <v>12.388503468780977</v>
      </c>
      <c r="M128" s="11">
        <f>IF(IF(IF(ISERROR('Model inputs'!M46&lt;0),'Model inputs'!M46&lt;0,IF('Model inputs'!M46="","",'Model inputs'!M46&lt;0))="",FALSE,IF(ISERROR('Model inputs'!M46&lt;0),'Model inputs'!M46&lt;0,IF('Model inputs'!M46="","",'Model inputs'!M46&lt;0))),'Model inputs'!Z122/-'Model inputs'!M46,"")</f>
        <v>12.388503468780977</v>
      </c>
      <c r="N128" s="11">
        <f>IF(IF(IF(ISERROR('Model inputs'!N46&lt;0),'Model inputs'!N46&lt;0,IF('Model inputs'!N46="","",'Model inputs'!N46&lt;0))="",FALSE,IF(ISERROR('Model inputs'!N46&lt;0),'Model inputs'!N46&lt;0,IF('Model inputs'!N46="","",'Model inputs'!N46&lt;0))),'Model inputs'!Z122/-'Model inputs'!N46,"")</f>
        <v>12.388503468780977</v>
      </c>
      <c r="O128" s="11">
        <f>IF(IF(IF(ISERROR('Model inputs'!O46&lt;0),'Model inputs'!O46&lt;0,IF('Model inputs'!O46="","",'Model inputs'!O46&lt;0))="",FALSE,IF(ISERROR('Model inputs'!O46&lt;0),'Model inputs'!O46&lt;0,IF('Model inputs'!O46="","",'Model inputs'!O46&lt;0))),'Model inputs'!Z122/-'Model inputs'!O46,"")</f>
        <v>12.388503468780977</v>
      </c>
      <c r="P128" s="11">
        <f>IF(IF(IF(ISERROR('Model inputs'!P46&lt;0),'Model inputs'!P46&lt;0,IF('Model inputs'!P46="","",'Model inputs'!P46&lt;0))="",FALSE,IF(ISERROR('Model inputs'!P46&lt;0),'Model inputs'!P46&lt;0,IF('Model inputs'!P46="","",'Model inputs'!P46&lt;0))),'Model inputs'!Z122/-'Model inputs'!P46,"")</f>
        <v>12.388503468780977</v>
      </c>
      <c r="Q128" s="11">
        <f>IF(IF(IF(ISERROR('Model inputs'!Q46&lt;0),'Model inputs'!Q46&lt;0,IF('Model inputs'!Q46="","",'Model inputs'!Q46&lt;0))="",FALSE,IF(ISERROR('Model inputs'!Q46&lt;0),'Model inputs'!Q46&lt;0,IF('Model inputs'!Q46="","",'Model inputs'!Q46&lt;0))),'Model inputs'!Z122/-'Model inputs'!Q46,"")</f>
        <v>12.388503468780977</v>
      </c>
      <c r="R128" s="11">
        <f>IF(IF(IF(ISERROR('Model inputs'!R46&lt;0),'Model inputs'!R46&lt;0,IF('Model inputs'!R46="","",'Model inputs'!R46&lt;0))="",FALSE,IF(ISERROR('Model inputs'!R46&lt;0),'Model inputs'!R46&lt;0,IF('Model inputs'!R46="","",'Model inputs'!R46&lt;0))),'Model inputs'!Z122/-'Model inputs'!R46,"")</f>
        <v>12.388503468780977</v>
      </c>
      <c r="S128" s="11">
        <f>IF(IF(IF(ISERROR('Model inputs'!S46&lt;0),'Model inputs'!S46&lt;0,IF('Model inputs'!S46="","",'Model inputs'!S46&lt;0))="",FALSE,IF(ISERROR('Model inputs'!S46&lt;0),'Model inputs'!S46&lt;0,IF('Model inputs'!S46="","",'Model inputs'!S46&lt;0))),'Model inputs'!Z122/-'Model inputs'!S46,"")</f>
        <v>12.388503468780977</v>
      </c>
      <c r="T128" s="11">
        <f>IF(IF(IF(ISERROR('Model inputs'!T46&lt;0),'Model inputs'!T46&lt;0,IF('Model inputs'!T46="","",'Model inputs'!T46&lt;0))="",FALSE,IF(ISERROR('Model inputs'!T46&lt;0),'Model inputs'!T46&lt;0,IF('Model inputs'!T46="","",'Model inputs'!T46&lt;0))),'Model inputs'!Z122/-'Model inputs'!T46,"")</f>
        <v>12.388503468780977</v>
      </c>
      <c r="U128" s="11">
        <f>IF(IF(IF(ISERROR('Model inputs'!U46&lt;0),'Model inputs'!U46&lt;0,IF('Model inputs'!U46="","",'Model inputs'!U46&lt;0))="",FALSE,IF(ISERROR('Model inputs'!U46&lt;0),'Model inputs'!U46&lt;0,IF('Model inputs'!U46="","",'Model inputs'!U46&lt;0))),'Model inputs'!Z122/-'Model inputs'!U46,"")</f>
        <v>12.388503468780977</v>
      </c>
      <c r="V128" s="11">
        <f>IF(IF(IF(ISERROR('Model inputs'!V46&lt;0),'Model inputs'!V46&lt;0,IF('Model inputs'!V46="","",'Model inputs'!V46&lt;0))="",FALSE,IF(ISERROR('Model inputs'!V46&lt;0),'Model inputs'!V46&lt;0,IF('Model inputs'!V46="","",'Model inputs'!V46&lt;0))),'Model inputs'!Z122/-'Model inputs'!V46,"")</f>
        <v>12.388503468780977</v>
      </c>
      <c r="W128" s="11">
        <f>IF(IF(IF(ISERROR('Model inputs'!W46&lt;0),'Model inputs'!W46&lt;0,IF('Model inputs'!W46="","",'Model inputs'!W46&lt;0))="",FALSE,IF(ISERROR('Model inputs'!W46&lt;0),'Model inputs'!W46&lt;0,IF('Model inputs'!W46="","",'Model inputs'!W46&lt;0))),'Model inputs'!Z122/-'Model inputs'!W46,"")</f>
        <v>12.388503468780977</v>
      </c>
      <c r="X128" s="11">
        <f>IF(IF(IF(ISERROR('Model inputs'!X46&lt;0),'Model inputs'!X46&lt;0,IF('Model inputs'!X46="","",'Model inputs'!X46&lt;0))="",FALSE,IF(ISERROR('Model inputs'!X46&lt;0),'Model inputs'!X46&lt;0,IF('Model inputs'!X46="","",'Model inputs'!X46&lt;0))),'Model inputs'!Z122/-'Model inputs'!X46,"")</f>
        <v>12.388503468780977</v>
      </c>
      <c r="Y128" s="11">
        <f>IF(IF(IF(ISERROR('Model inputs'!Y46&lt;0),'Model inputs'!Y46&lt;0,IF('Model inputs'!Y46="","",'Model inputs'!Y46&lt;0))="",FALSE,IF(ISERROR('Model inputs'!Y46&lt;0),'Model inputs'!Y46&lt;0,IF('Model inputs'!Y46="","",'Model inputs'!Y46&lt;0))),'Model inputs'!Z122/-'Model inputs'!Y46,"")</f>
        <v>12.388503468780977</v>
      </c>
    </row>
    <row r="129" outlineLevel="1">
      <c r="A129" t="inlineStr" s="18">
        <is>
          <t xml:space="preserve">Full-allowance runway in months &gt; Lean launch — $5,000</t>
        </is>
      </c>
      <c r="B129" s="11">
        <f>'Briefcase cash and runway'!B20</f>
        <v>0</v>
      </c>
      <c r="C129" s="11">
        <f>IF(IF(IF(ISERROR('Model inputs'!C46&lt;0),'Model inputs'!C46&lt;0,IF('Model inputs'!C46="","",'Model inputs'!C46&lt;0))="",FALSE,IF(ISERROR('Model inputs'!C46&lt;0),'Model inputs'!C46&lt;0,IF('Model inputs'!C46="","",'Model inputs'!C46&lt;0))),'Model inputs'!Z123/-'Model inputs'!C46,"")</f>
        <v>2.477700693756195</v>
      </c>
      <c r="L129" s="11">
        <f>IF(IF(IF(ISERROR('Model inputs'!L46&lt;0),'Model inputs'!L46&lt;0,IF('Model inputs'!L46="","",'Model inputs'!L46&lt;0))="",FALSE,IF(ISERROR('Model inputs'!L46&lt;0),'Model inputs'!L46&lt;0,IF('Model inputs'!L46="","",'Model inputs'!L46&lt;0))),'Model inputs'!Z123/-'Model inputs'!L46,"")</f>
        <v>2.477700693756195</v>
      </c>
      <c r="M129" s="11">
        <f>IF(IF(IF(ISERROR('Model inputs'!M46&lt;0),'Model inputs'!M46&lt;0,IF('Model inputs'!M46="","",'Model inputs'!M46&lt;0))="",FALSE,IF(ISERROR('Model inputs'!M46&lt;0),'Model inputs'!M46&lt;0,IF('Model inputs'!M46="","",'Model inputs'!M46&lt;0))),'Model inputs'!Z123/-'Model inputs'!M46,"")</f>
        <v>2.477700693756195</v>
      </c>
      <c r="N129" s="11">
        <f>IF(IF(IF(ISERROR('Model inputs'!N46&lt;0),'Model inputs'!N46&lt;0,IF('Model inputs'!N46="","",'Model inputs'!N46&lt;0))="",FALSE,IF(ISERROR('Model inputs'!N46&lt;0),'Model inputs'!N46&lt;0,IF('Model inputs'!N46="","",'Model inputs'!N46&lt;0))),'Model inputs'!Z123/-'Model inputs'!N46,"")</f>
        <v>2.477700693756195</v>
      </c>
      <c r="O129" s="11">
        <f>IF(IF(IF(ISERROR('Model inputs'!O46&lt;0),'Model inputs'!O46&lt;0,IF('Model inputs'!O46="","",'Model inputs'!O46&lt;0))="",FALSE,IF(ISERROR('Model inputs'!O46&lt;0),'Model inputs'!O46&lt;0,IF('Model inputs'!O46="","",'Model inputs'!O46&lt;0))),'Model inputs'!Z123/-'Model inputs'!O46,"")</f>
        <v>2.477700693756195</v>
      </c>
      <c r="P129" s="11">
        <f>IF(IF(IF(ISERROR('Model inputs'!P46&lt;0),'Model inputs'!P46&lt;0,IF('Model inputs'!P46="","",'Model inputs'!P46&lt;0))="",FALSE,IF(ISERROR('Model inputs'!P46&lt;0),'Model inputs'!P46&lt;0,IF('Model inputs'!P46="","",'Model inputs'!P46&lt;0))),'Model inputs'!Z123/-'Model inputs'!P46,"")</f>
        <v>2.477700693756195</v>
      </c>
      <c r="Q129" s="11">
        <f>IF(IF(IF(ISERROR('Model inputs'!Q46&lt;0),'Model inputs'!Q46&lt;0,IF('Model inputs'!Q46="","",'Model inputs'!Q46&lt;0))="",FALSE,IF(ISERROR('Model inputs'!Q46&lt;0),'Model inputs'!Q46&lt;0,IF('Model inputs'!Q46="","",'Model inputs'!Q46&lt;0))),'Model inputs'!Z123/-'Model inputs'!Q46,"")</f>
        <v>2.477700693756195</v>
      </c>
      <c r="R129" s="11">
        <f>IF(IF(IF(ISERROR('Model inputs'!R46&lt;0),'Model inputs'!R46&lt;0,IF('Model inputs'!R46="","",'Model inputs'!R46&lt;0))="",FALSE,IF(ISERROR('Model inputs'!R46&lt;0),'Model inputs'!R46&lt;0,IF('Model inputs'!R46="","",'Model inputs'!R46&lt;0))),'Model inputs'!Z123/-'Model inputs'!R46,"")</f>
        <v>2.477700693756195</v>
      </c>
      <c r="S129" s="11">
        <f>IF(IF(IF(ISERROR('Model inputs'!S46&lt;0),'Model inputs'!S46&lt;0,IF('Model inputs'!S46="","",'Model inputs'!S46&lt;0))="",FALSE,IF(ISERROR('Model inputs'!S46&lt;0),'Model inputs'!S46&lt;0,IF('Model inputs'!S46="","",'Model inputs'!S46&lt;0))),'Model inputs'!Z123/-'Model inputs'!S46,"")</f>
        <v>2.477700693756195</v>
      </c>
      <c r="T129" s="11">
        <f>IF(IF(IF(ISERROR('Model inputs'!T46&lt;0),'Model inputs'!T46&lt;0,IF('Model inputs'!T46="","",'Model inputs'!T46&lt;0))="",FALSE,IF(ISERROR('Model inputs'!T46&lt;0),'Model inputs'!T46&lt;0,IF('Model inputs'!T46="","",'Model inputs'!T46&lt;0))),'Model inputs'!Z123/-'Model inputs'!T46,"")</f>
        <v>2.477700693756195</v>
      </c>
      <c r="U129" s="11">
        <f>IF(IF(IF(ISERROR('Model inputs'!U46&lt;0),'Model inputs'!U46&lt;0,IF('Model inputs'!U46="","",'Model inputs'!U46&lt;0))="",FALSE,IF(ISERROR('Model inputs'!U46&lt;0),'Model inputs'!U46&lt;0,IF('Model inputs'!U46="","",'Model inputs'!U46&lt;0))),'Model inputs'!Z123/-'Model inputs'!U46,"")</f>
        <v>2.477700693756195</v>
      </c>
      <c r="V129" s="11">
        <f>IF(IF(IF(ISERROR('Model inputs'!V46&lt;0),'Model inputs'!V46&lt;0,IF('Model inputs'!V46="","",'Model inputs'!V46&lt;0))="",FALSE,IF(ISERROR('Model inputs'!V46&lt;0),'Model inputs'!V46&lt;0,IF('Model inputs'!V46="","",'Model inputs'!V46&lt;0))),'Model inputs'!Z123/-'Model inputs'!V46,"")</f>
        <v>2.477700693756195</v>
      </c>
      <c r="W129" s="11">
        <f>IF(IF(IF(ISERROR('Model inputs'!W46&lt;0),'Model inputs'!W46&lt;0,IF('Model inputs'!W46="","",'Model inputs'!W46&lt;0))="",FALSE,IF(ISERROR('Model inputs'!W46&lt;0),'Model inputs'!W46&lt;0,IF('Model inputs'!W46="","",'Model inputs'!W46&lt;0))),'Model inputs'!Z123/-'Model inputs'!W46,"")</f>
        <v>2.477700693756195</v>
      </c>
      <c r="X129" s="11">
        <f>IF(IF(IF(ISERROR('Model inputs'!X46&lt;0),'Model inputs'!X46&lt;0,IF('Model inputs'!X46="","",'Model inputs'!X46&lt;0))="",FALSE,IF(ISERROR('Model inputs'!X46&lt;0),'Model inputs'!X46&lt;0,IF('Model inputs'!X46="","",'Model inputs'!X46&lt;0))),'Model inputs'!Z123/-'Model inputs'!X46,"")</f>
        <v>2.477700693756195</v>
      </c>
      <c r="Y129" s="11">
        <f>IF(IF(IF(ISERROR('Model inputs'!Y46&lt;0),'Model inputs'!Y46&lt;0,IF('Model inputs'!Y46="","",'Model inputs'!Y46&lt;0))="",FALSE,IF(ISERROR('Model inputs'!Y46&lt;0),'Model inputs'!Y46&lt;0,IF('Model inputs'!Y46="","",'Model inputs'!Y46&lt;0))),'Model inputs'!Z123/-'Model inputs'!Y46,"")</f>
        <v>2.477700693756195</v>
      </c>
    </row>
    <row r="130">
      <c r="A130" t="inlineStr" s="17">
        <is>
          <t xml:space="preserve">Runway from launch in months</t>
        </is>
      </c>
      <c r="B130" s="10">
        <f>SUM('Model inputs'!B131,'Model inputs'!B132,'Model inputs'!B133)</f>
        <v>0</v>
      </c>
      <c r="C130" t="str" s="10">
        <f>""</f>
        <v/>
      </c>
      <c r="L130" t="str" s="10">
        <f>""</f>
        <v/>
      </c>
      <c r="M130" t="str" s="10">
        <f>""</f>
        <v/>
      </c>
      <c r="N130" t="str" s="10">
        <f>""</f>
        <v/>
      </c>
      <c r="O130" t="str" s="10">
        <f>""</f>
        <v/>
      </c>
      <c r="P130" t="str" s="10">
        <f>""</f>
        <v/>
      </c>
      <c r="Q130" t="str" s="10">
        <f>""</f>
        <v/>
      </c>
      <c r="R130" t="str" s="10">
        <f>""</f>
        <v/>
      </c>
      <c r="S130" t="str" s="10">
        <f>""</f>
        <v/>
      </c>
      <c r="T130" t="str" s="10">
        <f>""</f>
        <v/>
      </c>
      <c r="U130" t="str" s="10">
        <f>""</f>
        <v/>
      </c>
      <c r="V130" t="str" s="10">
        <f>""</f>
        <v/>
      </c>
      <c r="W130" t="str" s="10">
        <f>""</f>
        <v/>
      </c>
      <c r="X130" t="str" s="10">
        <f>""</f>
        <v/>
      </c>
      <c r="Y130" t="str" s="10">
        <f>""</f>
        <v/>
      </c>
    </row>
    <row r="131" outlineLevel="1">
      <c r="A131" t="inlineStr" s="18">
        <is>
          <t xml:space="preserve">Runway from launch in months &gt; Bootstrapped — $0</t>
        </is>
      </c>
      <c r="B131" s="11">
        <f>'Briefcase cash and runway'!B14</f>
        <v>0</v>
      </c>
      <c r="C131" t="str" s="11">
        <f>IF(IF(IF(ISERROR('Model inputs'!C83&lt;0),'Model inputs'!C83&lt;0,IF('Model inputs'!C83="","",'Model inputs'!C83&lt;0))="",FALSE,IF(ISERROR('Model inputs'!C83&lt;0),'Model inputs'!C83&lt;0,IF('Model inputs'!C83="","",'Model inputs'!C83&lt;0))),'Model inputs'!Z121/-'Model inputs'!C83,"")</f>
        <v/>
      </c>
      <c r="L131" t="str" s="11">
        <f>IF(IF(IF(ISERROR('Model inputs'!L83&lt;0),'Model inputs'!L83&lt;0,IF('Model inputs'!L83="","",'Model inputs'!L83&lt;0))="",FALSE,IF(ISERROR('Model inputs'!L83&lt;0),'Model inputs'!L83&lt;0,IF('Model inputs'!L83="","",'Model inputs'!L83&lt;0))),'Model inputs'!Z121/-'Model inputs'!L83,"")</f>
        <v/>
      </c>
      <c r="M131" t="str" s="11">
        <f>IF(IF(IF(ISERROR('Model inputs'!M83&lt;0),'Model inputs'!M83&lt;0,IF('Model inputs'!M83="","",'Model inputs'!M83&lt;0))="",FALSE,IF(ISERROR('Model inputs'!M83&lt;0),'Model inputs'!M83&lt;0,IF('Model inputs'!M83="","",'Model inputs'!M83&lt;0))),'Model inputs'!Z121/-'Model inputs'!M83,"")</f>
        <v/>
      </c>
      <c r="N131" t="str" s="11">
        <f>IF(IF(IF(ISERROR('Model inputs'!N83&lt;0),'Model inputs'!N83&lt;0,IF('Model inputs'!N83="","",'Model inputs'!N83&lt;0))="",FALSE,IF(ISERROR('Model inputs'!N83&lt;0),'Model inputs'!N83&lt;0,IF('Model inputs'!N83="","",'Model inputs'!N83&lt;0))),'Model inputs'!Z121/-'Model inputs'!N83,"")</f>
        <v/>
      </c>
      <c r="O131" t="str" s="11">
        <f>IF(IF(IF(ISERROR('Model inputs'!O83&lt;0),'Model inputs'!O83&lt;0,IF('Model inputs'!O83="","",'Model inputs'!O83&lt;0))="",FALSE,IF(ISERROR('Model inputs'!O83&lt;0),'Model inputs'!O83&lt;0,IF('Model inputs'!O83="","",'Model inputs'!O83&lt;0))),'Model inputs'!Z121/-'Model inputs'!O83,"")</f>
        <v/>
      </c>
      <c r="P131" t="str" s="11">
        <f>IF(IF(IF(ISERROR('Model inputs'!P83&lt;0),'Model inputs'!P83&lt;0,IF('Model inputs'!P83="","",'Model inputs'!P83&lt;0))="",FALSE,IF(ISERROR('Model inputs'!P83&lt;0),'Model inputs'!P83&lt;0,IF('Model inputs'!P83="","",'Model inputs'!P83&lt;0))),'Model inputs'!Z121/-'Model inputs'!P83,"")</f>
        <v/>
      </c>
      <c r="Q131" t="str" s="11">
        <f>IF(IF(IF(ISERROR('Model inputs'!Q83&lt;0),'Model inputs'!Q83&lt;0,IF('Model inputs'!Q83="","",'Model inputs'!Q83&lt;0))="",FALSE,IF(ISERROR('Model inputs'!Q83&lt;0),'Model inputs'!Q83&lt;0,IF('Model inputs'!Q83="","",'Model inputs'!Q83&lt;0))),'Model inputs'!Z121/-'Model inputs'!Q83,"")</f>
        <v/>
      </c>
      <c r="R131" t="str" s="11">
        <f>IF(IF(IF(ISERROR('Model inputs'!R83&lt;0),'Model inputs'!R83&lt;0,IF('Model inputs'!R83="","",'Model inputs'!R83&lt;0))="",FALSE,IF(ISERROR('Model inputs'!R83&lt;0),'Model inputs'!R83&lt;0,IF('Model inputs'!R83="","",'Model inputs'!R83&lt;0))),'Model inputs'!Z121/-'Model inputs'!R83,"")</f>
        <v/>
      </c>
      <c r="S131" t="str" s="11">
        <f>IF(IF(IF(ISERROR('Model inputs'!S83&lt;0),'Model inputs'!S83&lt;0,IF('Model inputs'!S83="","",'Model inputs'!S83&lt;0))="",FALSE,IF(ISERROR('Model inputs'!S83&lt;0),'Model inputs'!S83&lt;0,IF('Model inputs'!S83="","",'Model inputs'!S83&lt;0))),'Model inputs'!Z121/-'Model inputs'!S83,"")</f>
        <v/>
      </c>
      <c r="T131" t="str" s="11">
        <f>IF(IF(IF(ISERROR('Model inputs'!T83&lt;0),'Model inputs'!T83&lt;0,IF('Model inputs'!T83="","",'Model inputs'!T83&lt;0))="",FALSE,IF(ISERROR('Model inputs'!T83&lt;0),'Model inputs'!T83&lt;0,IF('Model inputs'!T83="","",'Model inputs'!T83&lt;0))),'Model inputs'!Z121/-'Model inputs'!T83,"")</f>
        <v/>
      </c>
      <c r="U131" t="str" s="11">
        <f>IF(IF(IF(ISERROR('Model inputs'!U83&lt;0),'Model inputs'!U83&lt;0,IF('Model inputs'!U83="","",'Model inputs'!U83&lt;0))="",FALSE,IF(ISERROR('Model inputs'!U83&lt;0),'Model inputs'!U83&lt;0,IF('Model inputs'!U83="","",'Model inputs'!U83&lt;0))),'Model inputs'!Z121/-'Model inputs'!U83,"")</f>
        <v/>
      </c>
      <c r="V131" t="str" s="11">
        <f>IF(IF(IF(ISERROR('Model inputs'!V83&lt;0),'Model inputs'!V83&lt;0,IF('Model inputs'!V83="","",'Model inputs'!V83&lt;0))="",FALSE,IF(ISERROR('Model inputs'!V83&lt;0),'Model inputs'!V83&lt;0,IF('Model inputs'!V83="","",'Model inputs'!V83&lt;0))),'Model inputs'!Z121/-'Model inputs'!V83,"")</f>
        <v/>
      </c>
      <c r="W131" t="str" s="11">
        <f>IF(IF(IF(ISERROR('Model inputs'!W83&lt;0),'Model inputs'!W83&lt;0,IF('Model inputs'!W83="","",'Model inputs'!W83&lt;0))="",FALSE,IF(ISERROR('Model inputs'!W83&lt;0),'Model inputs'!W83&lt;0,IF('Model inputs'!W83="","",'Model inputs'!W83&lt;0))),'Model inputs'!Z121/-'Model inputs'!W83,"")</f>
        <v/>
      </c>
      <c r="X131" t="str" s="11">
        <f>IF(IF(IF(ISERROR('Model inputs'!X83&lt;0),'Model inputs'!X83&lt;0,IF('Model inputs'!X83="","",'Model inputs'!X83&lt;0))="",FALSE,IF(ISERROR('Model inputs'!X83&lt;0),'Model inputs'!X83&lt;0,IF('Model inputs'!X83="","",'Model inputs'!X83&lt;0))),'Model inputs'!Z121/-'Model inputs'!X83,"")</f>
        <v/>
      </c>
      <c r="Y131" t="str" s="11">
        <f>IF(IF(IF(ISERROR('Model inputs'!Y83&lt;0),'Model inputs'!Y83&lt;0,IF('Model inputs'!Y83="","",'Model inputs'!Y83&lt;0))="",FALSE,IF(ISERROR('Model inputs'!Y83&lt;0),'Model inputs'!Y83&lt;0,IF('Model inputs'!Y83="","",'Model inputs'!Y83&lt;0))),'Model inputs'!Z121/-'Model inputs'!Y83,"")</f>
        <v/>
      </c>
    </row>
    <row r="132" outlineLevel="1">
      <c r="A132" t="inlineStr" s="18">
        <is>
          <t xml:space="preserve">Runway from launch in months &gt; Illustrative pre-seed — $25,000</t>
        </is>
      </c>
      <c r="B132" s="11">
        <f>'Briefcase cash and runway'!B15</f>
        <v>0</v>
      </c>
      <c r="C132" t="str" s="11">
        <f>IF(IF(IF(ISERROR('Model inputs'!C83&lt;0),'Model inputs'!C83&lt;0,IF('Model inputs'!C83="","",'Model inputs'!C83&lt;0))="",FALSE,IF(ISERROR('Model inputs'!C83&lt;0),'Model inputs'!C83&lt;0,IF('Model inputs'!C83="","",'Model inputs'!C83&lt;0))),'Model inputs'!Z122/-'Model inputs'!C83,"")</f>
        <v/>
      </c>
      <c r="L132" t="str" s="11">
        <f>IF(IF(IF(ISERROR('Model inputs'!L83&lt;0),'Model inputs'!L83&lt;0,IF('Model inputs'!L83="","",'Model inputs'!L83&lt;0))="",FALSE,IF(ISERROR('Model inputs'!L83&lt;0),'Model inputs'!L83&lt;0,IF('Model inputs'!L83="","",'Model inputs'!L83&lt;0))),'Model inputs'!Z122/-'Model inputs'!L83,"")</f>
        <v/>
      </c>
      <c r="M132" t="str" s="11">
        <f>IF(IF(IF(ISERROR('Model inputs'!M83&lt;0),'Model inputs'!M83&lt;0,IF('Model inputs'!M83="","",'Model inputs'!M83&lt;0))="",FALSE,IF(ISERROR('Model inputs'!M83&lt;0),'Model inputs'!M83&lt;0,IF('Model inputs'!M83="","",'Model inputs'!M83&lt;0))),'Model inputs'!Z122/-'Model inputs'!M83,"")</f>
        <v/>
      </c>
      <c r="N132" t="str" s="11">
        <f>IF(IF(IF(ISERROR('Model inputs'!N83&lt;0),'Model inputs'!N83&lt;0,IF('Model inputs'!N83="","",'Model inputs'!N83&lt;0))="",FALSE,IF(ISERROR('Model inputs'!N83&lt;0),'Model inputs'!N83&lt;0,IF('Model inputs'!N83="","",'Model inputs'!N83&lt;0))),'Model inputs'!Z122/-'Model inputs'!N83,"")</f>
        <v/>
      </c>
      <c r="O132" t="str" s="11">
        <f>IF(IF(IF(ISERROR('Model inputs'!O83&lt;0),'Model inputs'!O83&lt;0,IF('Model inputs'!O83="","",'Model inputs'!O83&lt;0))="",FALSE,IF(ISERROR('Model inputs'!O83&lt;0),'Model inputs'!O83&lt;0,IF('Model inputs'!O83="","",'Model inputs'!O83&lt;0))),'Model inputs'!Z122/-'Model inputs'!O83,"")</f>
        <v/>
      </c>
      <c r="P132" t="str" s="11">
        <f>IF(IF(IF(ISERROR('Model inputs'!P83&lt;0),'Model inputs'!P83&lt;0,IF('Model inputs'!P83="","",'Model inputs'!P83&lt;0))="",FALSE,IF(ISERROR('Model inputs'!P83&lt;0),'Model inputs'!P83&lt;0,IF('Model inputs'!P83="","",'Model inputs'!P83&lt;0))),'Model inputs'!Z122/-'Model inputs'!P83,"")</f>
        <v/>
      </c>
      <c r="Q132" t="str" s="11">
        <f>IF(IF(IF(ISERROR('Model inputs'!Q83&lt;0),'Model inputs'!Q83&lt;0,IF('Model inputs'!Q83="","",'Model inputs'!Q83&lt;0))="",FALSE,IF(ISERROR('Model inputs'!Q83&lt;0),'Model inputs'!Q83&lt;0,IF('Model inputs'!Q83="","",'Model inputs'!Q83&lt;0))),'Model inputs'!Z122/-'Model inputs'!Q83,"")</f>
        <v/>
      </c>
      <c r="R132" t="str" s="11">
        <f>IF(IF(IF(ISERROR('Model inputs'!R83&lt;0),'Model inputs'!R83&lt;0,IF('Model inputs'!R83="","",'Model inputs'!R83&lt;0))="",FALSE,IF(ISERROR('Model inputs'!R83&lt;0),'Model inputs'!R83&lt;0,IF('Model inputs'!R83="","",'Model inputs'!R83&lt;0))),'Model inputs'!Z122/-'Model inputs'!R83,"")</f>
        <v/>
      </c>
      <c r="S132" t="str" s="11">
        <f>IF(IF(IF(ISERROR('Model inputs'!S83&lt;0),'Model inputs'!S83&lt;0,IF('Model inputs'!S83="","",'Model inputs'!S83&lt;0))="",FALSE,IF(ISERROR('Model inputs'!S83&lt;0),'Model inputs'!S83&lt;0,IF('Model inputs'!S83="","",'Model inputs'!S83&lt;0))),'Model inputs'!Z122/-'Model inputs'!S83,"")</f>
        <v/>
      </c>
      <c r="T132" t="str" s="11">
        <f>IF(IF(IF(ISERROR('Model inputs'!T83&lt;0),'Model inputs'!T83&lt;0,IF('Model inputs'!T83="","",'Model inputs'!T83&lt;0))="",FALSE,IF(ISERROR('Model inputs'!T83&lt;0),'Model inputs'!T83&lt;0,IF('Model inputs'!T83="","",'Model inputs'!T83&lt;0))),'Model inputs'!Z122/-'Model inputs'!T83,"")</f>
        <v/>
      </c>
      <c r="U132" t="str" s="11">
        <f>IF(IF(IF(ISERROR('Model inputs'!U83&lt;0),'Model inputs'!U83&lt;0,IF('Model inputs'!U83="","",'Model inputs'!U83&lt;0))="",FALSE,IF(ISERROR('Model inputs'!U83&lt;0),'Model inputs'!U83&lt;0,IF('Model inputs'!U83="","",'Model inputs'!U83&lt;0))),'Model inputs'!Z122/-'Model inputs'!U83,"")</f>
        <v/>
      </c>
      <c r="V132" t="str" s="11">
        <f>IF(IF(IF(ISERROR('Model inputs'!V83&lt;0),'Model inputs'!V83&lt;0,IF('Model inputs'!V83="","",'Model inputs'!V83&lt;0))="",FALSE,IF(ISERROR('Model inputs'!V83&lt;0),'Model inputs'!V83&lt;0,IF('Model inputs'!V83="","",'Model inputs'!V83&lt;0))),'Model inputs'!Z122/-'Model inputs'!V83,"")</f>
        <v/>
      </c>
      <c r="W132" t="str" s="11">
        <f>IF(IF(IF(ISERROR('Model inputs'!W83&lt;0),'Model inputs'!W83&lt;0,IF('Model inputs'!W83="","",'Model inputs'!W83&lt;0))="",FALSE,IF(ISERROR('Model inputs'!W83&lt;0),'Model inputs'!W83&lt;0,IF('Model inputs'!W83="","",'Model inputs'!W83&lt;0))),'Model inputs'!Z122/-'Model inputs'!W83,"")</f>
        <v/>
      </c>
      <c r="X132" t="str" s="11">
        <f>IF(IF(IF(ISERROR('Model inputs'!X83&lt;0),'Model inputs'!X83&lt;0,IF('Model inputs'!X83="","",'Model inputs'!X83&lt;0))="",FALSE,IF(ISERROR('Model inputs'!X83&lt;0),'Model inputs'!X83&lt;0,IF('Model inputs'!X83="","",'Model inputs'!X83&lt;0))),'Model inputs'!Z122/-'Model inputs'!X83,"")</f>
        <v/>
      </c>
      <c r="Y132" t="str" s="11">
        <f>IF(IF(IF(ISERROR('Model inputs'!Y83&lt;0),'Model inputs'!Y83&lt;0,IF('Model inputs'!Y83="","",'Model inputs'!Y83&lt;0))="",FALSE,IF(ISERROR('Model inputs'!Y83&lt;0),'Model inputs'!Y83&lt;0,IF('Model inputs'!Y83="","",'Model inputs'!Y83&lt;0))),'Model inputs'!Z122/-'Model inputs'!Y83,"")</f>
        <v/>
      </c>
    </row>
    <row r="133" outlineLevel="1">
      <c r="A133" t="inlineStr" s="18">
        <is>
          <t xml:space="preserve">Runway from launch in months &gt; Lean launch — $5,000</t>
        </is>
      </c>
      <c r="B133" s="11">
        <f>'Briefcase cash and runway'!B16</f>
        <v>0</v>
      </c>
      <c r="C133" t="str" s="11">
        <f>IF(IF(IF(ISERROR('Model inputs'!C83&lt;0),'Model inputs'!C83&lt;0,IF('Model inputs'!C83="","",'Model inputs'!C83&lt;0))="",FALSE,IF(ISERROR('Model inputs'!C83&lt;0),'Model inputs'!C83&lt;0,IF('Model inputs'!C83="","",'Model inputs'!C83&lt;0))),'Model inputs'!Z123/-'Model inputs'!C83,"")</f>
        <v/>
      </c>
      <c r="L133" t="str" s="11">
        <f>IF(IF(IF(ISERROR('Model inputs'!L83&lt;0),'Model inputs'!L83&lt;0,IF('Model inputs'!L83="","",'Model inputs'!L83&lt;0))="",FALSE,IF(ISERROR('Model inputs'!L83&lt;0),'Model inputs'!L83&lt;0,IF('Model inputs'!L83="","",'Model inputs'!L83&lt;0))),'Model inputs'!Z123/-'Model inputs'!L83,"")</f>
        <v/>
      </c>
      <c r="M133" t="str" s="11">
        <f>IF(IF(IF(ISERROR('Model inputs'!M83&lt;0),'Model inputs'!M83&lt;0,IF('Model inputs'!M83="","",'Model inputs'!M83&lt;0))="",FALSE,IF(ISERROR('Model inputs'!M83&lt;0),'Model inputs'!M83&lt;0,IF('Model inputs'!M83="","",'Model inputs'!M83&lt;0))),'Model inputs'!Z123/-'Model inputs'!M83,"")</f>
        <v/>
      </c>
      <c r="N133" t="str" s="11">
        <f>IF(IF(IF(ISERROR('Model inputs'!N83&lt;0),'Model inputs'!N83&lt;0,IF('Model inputs'!N83="","",'Model inputs'!N83&lt;0))="",FALSE,IF(ISERROR('Model inputs'!N83&lt;0),'Model inputs'!N83&lt;0,IF('Model inputs'!N83="","",'Model inputs'!N83&lt;0))),'Model inputs'!Z123/-'Model inputs'!N83,"")</f>
        <v/>
      </c>
      <c r="O133" t="str" s="11">
        <f>IF(IF(IF(ISERROR('Model inputs'!O83&lt;0),'Model inputs'!O83&lt;0,IF('Model inputs'!O83="","",'Model inputs'!O83&lt;0))="",FALSE,IF(ISERROR('Model inputs'!O83&lt;0),'Model inputs'!O83&lt;0,IF('Model inputs'!O83="","",'Model inputs'!O83&lt;0))),'Model inputs'!Z123/-'Model inputs'!O83,"")</f>
        <v/>
      </c>
      <c r="P133" t="str" s="11">
        <f>IF(IF(IF(ISERROR('Model inputs'!P83&lt;0),'Model inputs'!P83&lt;0,IF('Model inputs'!P83="","",'Model inputs'!P83&lt;0))="",FALSE,IF(ISERROR('Model inputs'!P83&lt;0),'Model inputs'!P83&lt;0,IF('Model inputs'!P83="","",'Model inputs'!P83&lt;0))),'Model inputs'!Z123/-'Model inputs'!P83,"")</f>
        <v/>
      </c>
      <c r="Q133" t="str" s="11">
        <f>IF(IF(IF(ISERROR('Model inputs'!Q83&lt;0),'Model inputs'!Q83&lt;0,IF('Model inputs'!Q83="","",'Model inputs'!Q83&lt;0))="",FALSE,IF(ISERROR('Model inputs'!Q83&lt;0),'Model inputs'!Q83&lt;0,IF('Model inputs'!Q83="","",'Model inputs'!Q83&lt;0))),'Model inputs'!Z123/-'Model inputs'!Q83,"")</f>
        <v/>
      </c>
      <c r="R133" t="str" s="11">
        <f>IF(IF(IF(ISERROR('Model inputs'!R83&lt;0),'Model inputs'!R83&lt;0,IF('Model inputs'!R83="","",'Model inputs'!R83&lt;0))="",FALSE,IF(ISERROR('Model inputs'!R83&lt;0),'Model inputs'!R83&lt;0,IF('Model inputs'!R83="","",'Model inputs'!R83&lt;0))),'Model inputs'!Z123/-'Model inputs'!R83,"")</f>
        <v/>
      </c>
      <c r="S133" t="str" s="11">
        <f>IF(IF(IF(ISERROR('Model inputs'!S83&lt;0),'Model inputs'!S83&lt;0,IF('Model inputs'!S83="","",'Model inputs'!S83&lt;0))="",FALSE,IF(ISERROR('Model inputs'!S83&lt;0),'Model inputs'!S83&lt;0,IF('Model inputs'!S83="","",'Model inputs'!S83&lt;0))),'Model inputs'!Z123/-'Model inputs'!S83,"")</f>
        <v/>
      </c>
      <c r="T133" t="str" s="11">
        <f>IF(IF(IF(ISERROR('Model inputs'!T83&lt;0),'Model inputs'!T83&lt;0,IF('Model inputs'!T83="","",'Model inputs'!T83&lt;0))="",FALSE,IF(ISERROR('Model inputs'!T83&lt;0),'Model inputs'!T83&lt;0,IF('Model inputs'!T83="","",'Model inputs'!T83&lt;0))),'Model inputs'!Z123/-'Model inputs'!T83,"")</f>
        <v/>
      </c>
      <c r="U133" t="str" s="11">
        <f>IF(IF(IF(ISERROR('Model inputs'!U83&lt;0),'Model inputs'!U83&lt;0,IF('Model inputs'!U83="","",'Model inputs'!U83&lt;0))="",FALSE,IF(ISERROR('Model inputs'!U83&lt;0),'Model inputs'!U83&lt;0,IF('Model inputs'!U83="","",'Model inputs'!U83&lt;0))),'Model inputs'!Z123/-'Model inputs'!U83,"")</f>
        <v/>
      </c>
      <c r="V133" t="str" s="11">
        <f>IF(IF(IF(ISERROR('Model inputs'!V83&lt;0),'Model inputs'!V83&lt;0,IF('Model inputs'!V83="","",'Model inputs'!V83&lt;0))="",FALSE,IF(ISERROR('Model inputs'!V83&lt;0),'Model inputs'!V83&lt;0,IF('Model inputs'!V83="","",'Model inputs'!V83&lt;0))),'Model inputs'!Z123/-'Model inputs'!V83,"")</f>
        <v/>
      </c>
      <c r="W133" t="str" s="11">
        <f>IF(IF(IF(ISERROR('Model inputs'!W83&lt;0),'Model inputs'!W83&lt;0,IF('Model inputs'!W83="","",'Model inputs'!W83&lt;0))="",FALSE,IF(ISERROR('Model inputs'!W83&lt;0),'Model inputs'!W83&lt;0,IF('Model inputs'!W83="","",'Model inputs'!W83&lt;0))),'Model inputs'!Z123/-'Model inputs'!W83,"")</f>
        <v/>
      </c>
      <c r="X133" t="str" s="11">
        <f>IF(IF(IF(ISERROR('Model inputs'!X83&lt;0),'Model inputs'!X83&lt;0,IF('Model inputs'!X83="","",'Model inputs'!X83&lt;0))="",FALSE,IF(ISERROR('Model inputs'!X83&lt;0),'Model inputs'!X83&lt;0,IF('Model inputs'!X83="","",'Model inputs'!X83&lt;0))),'Model inputs'!Z123/-'Model inputs'!X83,"")</f>
        <v/>
      </c>
      <c r="Y133" t="str" s="11">
        <f>IF(IF(IF(ISERROR('Model inputs'!Y83&lt;0),'Model inputs'!Y83&lt;0,IF('Model inputs'!Y83="","",'Model inputs'!Y83&lt;0))="",FALSE,IF(ISERROR('Model inputs'!Y83&lt;0),'Model inputs'!Y83&lt;0,IF('Model inputs'!Y83="","",'Model inputs'!Y83&lt;0))),'Model inputs'!Z123/-'Model inputs'!Y83,"")</f>
        <v/>
      </c>
    </row>
    <row r="134">
      <c r="A134" t="inlineStr" s="17">
        <is>
          <t xml:space="preserve">Baseline cost per brief · Modeled cost per brief · Briefcase conversion and cost sensitivities · Briefcase Base · Briefcase Base</t>
        </is>
      </c>
      <c r="Z134" s="19">
        <f>0.22</f>
        <v>0.22</v>
      </c>
    </row>
    <row r="135">
      <c r="A135" t="inlineStr" s="17">
        <is>
          <t xml:space="preserve">Baseline cost per brief · Modeled cost per brief · Briefcase Conservative — doubled Crustdata · Briefcase Conservative — doubled Crustdata</t>
        </is>
      </c>
      <c r="Z135" s="19">
        <f>'Model inputs'!Z134</f>
        <v>0.22</v>
      </c>
    </row>
    <row r="136">
      <c r="A136" t="inlineStr" s="17">
        <is>
          <t xml:space="preserve">Baseline cost per brief · Modeled cost per brief · Briefcase Growth · Briefcase Growth</t>
        </is>
      </c>
      <c r="Z136" s="19">
        <f>'Model inputs'!Z134</f>
        <v>0.22</v>
      </c>
    </row>
    <row r="137">
      <c r="A137" t="inlineStr" s="17">
        <is>
          <t xml:space="preserve">Baseline cost per brief · Modeled cost per brief · Briefcase Conservative — 5% conversion — doubled Crustdata · Briefcase Conservative — 5% conversion — doubled Crustdata</t>
        </is>
      </c>
      <c r="Z137" s="19">
        <f>'Model inputs'!Z134</f>
        <v>0.22</v>
      </c>
    </row>
    <row r="138">
      <c r="A138" t="inlineStr" s="17">
        <is>
          <t xml:space="preserve">Baseline cost per brief · Modeled cost per brief · Briefcase Growth — 5% conversion · Briefcase Growth — 5% conversion</t>
        </is>
      </c>
      <c r="Z138" s="19">
        <f>'Model inputs'!Z134</f>
        <v>0.22</v>
      </c>
    </row>
    <row r="139">
      <c r="A139" t="inlineStr" s="17">
        <is>
          <t xml:space="preserve">Baseline cost per brief · Modeled cost per brief · Briefcase Growth — 5% conversion — doubled Crustdata · Briefcase Growth — 5% conversion — doubled Crustdata</t>
        </is>
      </c>
      <c r="Z139" s="19">
        <f>'Model inputs'!Z134</f>
        <v>0.22</v>
      </c>
    </row>
    <row r="140">
      <c r="A140" t="inlineStr" s="17">
        <is>
          <t xml:space="preserve">Baseline cost per brief · Modeled cost per brief · Briefcase Growth — doubled Crustdata · Briefcase Growth — doubled Crustdata</t>
        </is>
      </c>
      <c r="Z140" s="19">
        <f>'Model inputs'!Z134</f>
        <v>0.22</v>
      </c>
    </row>
    <row r="141">
      <c r="A141" t="inlineStr" s="17">
        <is>
          <t xml:space="preserve">Baseline cost per brief · Modeled cost per brief · Briefcase Conservative — 5% conversion · Briefcase Conservative — 5% conversion</t>
        </is>
      </c>
      <c r="Z141" s="19">
        <f>'Model inputs'!Z134</f>
        <v>0.22</v>
      </c>
    </row>
    <row r="142">
      <c r="A142" t="inlineStr" s="17">
        <is>
          <t xml:space="preserve">Baseline cost per brief · Modeled cost per brief · Briefcase Conservative · Briefcase Conservative</t>
        </is>
      </c>
      <c r="Z142" s="19">
        <f>'Model inputs'!Z134</f>
        <v>0.22</v>
      </c>
    </row>
    <row r="143">
      <c r="A143" t="inlineStr" s="17">
        <is>
          <t xml:space="preserve">Baseline cost per brief · Modeled cost per brief · Briefcase Base — 5% conversion · Briefcase Base — 5% conversion</t>
        </is>
      </c>
      <c r="Z143" s="19">
        <f>'Model inputs'!Z134</f>
        <v>0.22</v>
      </c>
    </row>
    <row r="144">
      <c r="A144" t="inlineStr" s="17">
        <is>
          <t xml:space="preserve">Baseline cost per brief · Modeled cost per brief · Briefcase Base — 5% conversion — doubled Crustdata · Briefcase Base — 5% conversion — doubled Crustdata</t>
        </is>
      </c>
      <c r="Z144" s="19">
        <f>'Model inputs'!Z134</f>
        <v>0.22</v>
      </c>
    </row>
    <row r="145">
      <c r="A145" t="inlineStr" s="17">
        <is>
          <t xml:space="preserve">Baseline cost per brief · Modeled cost per brief · Briefcase Base — doubled Crustdata · Briefcase Base — doubled Crustdata</t>
        </is>
      </c>
      <c r="Z145" s="19">
        <f>'Model inputs'!Z134</f>
        <v>0.22</v>
      </c>
    </row>
    <row r="146">
      <c r="A146" t="inlineStr" s="17">
        <is>
          <t xml:space="preserve">Baseline Crustdata cost · Modeled cost per brief · Briefcase conversion and cost sensitivities · Briefcase Base · Briefcase Base</t>
        </is>
      </c>
      <c r="Z146" s="19">
        <f>0.08</f>
        <v>0.08</v>
      </c>
    </row>
    <row r="147">
      <c r="A147" t="inlineStr" s="17">
        <is>
          <t xml:space="preserve">Baseline Crustdata cost · Modeled cost per brief · Briefcase Conservative — doubled Crustdata · Briefcase Conservative — doubled Crustdata</t>
        </is>
      </c>
      <c r="Z147" s="19">
        <f>'Model inputs'!Z146</f>
        <v>0.08</v>
      </c>
    </row>
    <row r="148">
      <c r="A148" t="inlineStr" s="17">
        <is>
          <t xml:space="preserve">Baseline Crustdata cost · Modeled cost per brief · Briefcase Growth · Briefcase Growth</t>
        </is>
      </c>
      <c r="Z148" s="19">
        <f>'Model inputs'!Z146</f>
        <v>0.08</v>
      </c>
    </row>
    <row r="149">
      <c r="A149" t="inlineStr" s="17">
        <is>
          <t xml:space="preserve">Baseline Crustdata cost · Modeled cost per brief · Briefcase Conservative — 5% conversion — doubled Crustdata · Briefcase Conservative — 5% conversion — doubled Crustdata</t>
        </is>
      </c>
      <c r="Z149" s="19">
        <f>'Model inputs'!Z146</f>
        <v>0.08</v>
      </c>
    </row>
    <row r="150">
      <c r="A150" t="inlineStr" s="17">
        <is>
          <t xml:space="preserve">Baseline Crustdata cost · Modeled cost per brief · Briefcase Growth — 5% conversion · Briefcase Growth — 5% conversion</t>
        </is>
      </c>
      <c r="Z150" s="19">
        <f>'Model inputs'!Z146</f>
        <v>0.08</v>
      </c>
    </row>
    <row r="151">
      <c r="A151" t="inlineStr" s="17">
        <is>
          <t xml:space="preserve">Baseline Crustdata cost · Modeled cost per brief · Briefcase Growth — 5% conversion — doubled Crustdata · Briefcase Growth — 5% conversion — doubled Crustdata</t>
        </is>
      </c>
      <c r="Z151" s="19">
        <f>'Model inputs'!Z146</f>
        <v>0.08</v>
      </c>
    </row>
    <row r="152">
      <c r="A152" t="inlineStr" s="17">
        <is>
          <t xml:space="preserve">Baseline Crustdata cost · Modeled cost per brief · Briefcase Growth — doubled Crustdata · Briefcase Growth — doubled Crustdata</t>
        </is>
      </c>
      <c r="Z152" s="19">
        <f>'Model inputs'!Z146</f>
        <v>0.08</v>
      </c>
    </row>
    <row r="153">
      <c r="A153" t="inlineStr" s="17">
        <is>
          <t xml:space="preserve">Baseline Crustdata cost · Modeled cost per brief · Briefcase Conservative — 5% conversion · Briefcase Conservative — 5% conversion</t>
        </is>
      </c>
      <c r="Z153" s="19">
        <f>'Model inputs'!Z146</f>
        <v>0.08</v>
      </c>
    </row>
    <row r="154">
      <c r="A154" t="inlineStr" s="17">
        <is>
          <t xml:space="preserve">Baseline Crustdata cost · Modeled cost per brief · Briefcase Conservative · Briefcase Conservative</t>
        </is>
      </c>
      <c r="Z154" s="19">
        <f>'Model inputs'!Z146</f>
        <v>0.08</v>
      </c>
    </row>
    <row r="155">
      <c r="A155" t="inlineStr" s="17">
        <is>
          <t xml:space="preserve">Baseline Crustdata cost · Modeled cost per brief · Briefcase Base — 5% conversion · Briefcase Base — 5% conversion</t>
        </is>
      </c>
      <c r="Z155" s="19">
        <f>'Model inputs'!Z146</f>
        <v>0.08</v>
      </c>
    </row>
    <row r="156">
      <c r="A156" t="inlineStr" s="17">
        <is>
          <t xml:space="preserve">Baseline Crustdata cost · Modeled cost per brief · Briefcase Base — 5% conversion — doubled Crustdata · Briefcase Base — 5% conversion — doubled Crustdata</t>
        </is>
      </c>
      <c r="Z156" s="19">
        <f>'Model inputs'!Z146</f>
        <v>0.08</v>
      </c>
    </row>
    <row r="157">
      <c r="A157" t="inlineStr" s="17">
        <is>
          <t xml:space="preserve">Baseline Crustdata cost · Modeled cost per brief · Briefcase Base — doubled Crustdata · Briefcase Base — doubled Crustdata</t>
        </is>
      </c>
      <c r="Z157" s="19">
        <f>'Model inputs'!Z146</f>
        <v>0.08</v>
      </c>
    </row>
    <row r="158">
      <c r="A158" t="inlineStr" s="17">
        <is>
          <t xml:space="preserve">Career-center price per seat · Career-center MRR · Briefcase Base · Briefcase Base</t>
        </is>
      </c>
      <c r="Z158" s="13">
        <f>8</f>
        <v>8</v>
      </c>
    </row>
    <row r="159">
      <c r="A159" t="inlineStr" s="17">
        <is>
          <t xml:space="preserve">Career-center price per seat · Career-center MRR · Briefcase Conservative — doubled Crustdata · Briefcase Conservative — doubled Crustdata</t>
        </is>
      </c>
      <c r="Z159" s="13">
        <f>'Model inputs'!Z158</f>
        <v>8</v>
      </c>
    </row>
    <row r="160">
      <c r="A160" t="inlineStr" s="17">
        <is>
          <t xml:space="preserve">Career-center price per seat · Career-center MRR · Briefcase Growth · Briefcase Growth</t>
        </is>
      </c>
      <c r="Z160" s="13">
        <f>'Model inputs'!Z158</f>
        <v>8</v>
      </c>
    </row>
    <row r="161">
      <c r="A161" t="inlineStr" s="17">
        <is>
          <t xml:space="preserve">Career-center price per seat · Career-center MRR · Briefcase Conservative — 5% conversion — doubled Crustdata · Briefcase Conservative — 5% conversion — doubled Crustdata</t>
        </is>
      </c>
      <c r="Z161" s="13">
        <f>'Model inputs'!Z158</f>
        <v>8</v>
      </c>
    </row>
    <row r="162">
      <c r="A162" t="inlineStr" s="17">
        <is>
          <t xml:space="preserve">Career-center price per seat · Career-center MRR · Briefcase Growth — 5% conversion · Briefcase Growth — 5% conversion</t>
        </is>
      </c>
      <c r="Z162" s="13">
        <f>'Model inputs'!Z158</f>
        <v>8</v>
      </c>
    </row>
    <row r="163">
      <c r="A163" t="inlineStr" s="17">
        <is>
          <t xml:space="preserve">Career-center price per seat · Career-center MRR · Briefcase Growth — 5% conversion — doubled Crustdata · Briefcase Growth — 5% conversion — doubled Crustdata</t>
        </is>
      </c>
      <c r="Z163" s="13">
        <f>'Model inputs'!Z158</f>
        <v>8</v>
      </c>
    </row>
    <row r="164">
      <c r="A164" t="inlineStr" s="17">
        <is>
          <t xml:space="preserve">Career-center price per seat · Career-center MRR · Briefcase Growth — doubled Crustdata · Briefcase Growth — doubled Crustdata</t>
        </is>
      </c>
      <c r="Z164" s="13">
        <f>'Model inputs'!Z158</f>
        <v>8</v>
      </c>
    </row>
    <row r="165">
      <c r="A165" t="inlineStr" s="17">
        <is>
          <t xml:space="preserve">Career-center price per seat · Career-center MRR · Briefcase Conservative — 5% conversion · Briefcase Conservative — 5% conversion</t>
        </is>
      </c>
      <c r="Z165" s="13">
        <f>'Model inputs'!Z158</f>
        <v>8</v>
      </c>
    </row>
    <row r="166">
      <c r="A166" t="inlineStr" s="17">
        <is>
          <t xml:space="preserve">Career-center price per seat · Career-center MRR · Briefcase Conservative · Briefcase Conservative</t>
        </is>
      </c>
      <c r="Z166" s="13">
        <f>'Model inputs'!Z158</f>
        <v>8</v>
      </c>
    </row>
    <row r="167">
      <c r="A167" t="inlineStr" s="17">
        <is>
          <t xml:space="preserve">Career-center price per seat · Career-center MRR · Briefcase Base — 5% conversion · Briefcase Base — 5% conversion</t>
        </is>
      </c>
      <c r="Z167" s="13">
        <f>'Model inputs'!Z158</f>
        <v>8</v>
      </c>
    </row>
    <row r="168">
      <c r="A168" t="inlineStr" s="17">
        <is>
          <t xml:space="preserve">Career-center price per seat · Career-center MRR · Briefcase Base — 5% conversion — doubled Crustdata · Briefcase Base — 5% conversion — doubled Crustdata</t>
        </is>
      </c>
      <c r="Z168" s="13">
        <f>'Model inputs'!Z158</f>
        <v>8</v>
      </c>
    </row>
    <row r="169">
      <c r="A169" t="inlineStr" s="17">
        <is>
          <t xml:space="preserve">Career-center price per seat · Career-center MRR · Briefcase Base — doubled Crustdata · Briefcase Base — doubled Crustdata</t>
        </is>
      </c>
      <c r="Z169" s="13">
        <f>'Model inputs'!Z158</f>
        <v>8</v>
      </c>
    </row>
    <row r="170">
      <c r="A170" t="inlineStr" s="17">
        <is>
          <t xml:space="preserve">Crustdata cost per brief · Modeled cost per brief · Briefcase conversion and cost sensitivities · Briefcase Base · Briefcase Base</t>
        </is>
      </c>
      <c r="Z170" s="19">
        <f>0.08</f>
        <v>0.08</v>
      </c>
    </row>
    <row r="171">
      <c r="A171" t="inlineStr" s="17">
        <is>
          <t xml:space="preserve">Crustdata cost per brief · Modeled cost per brief · Briefcase Conservative — doubled Crustdata · Briefcase Conservative — doubled Crustdata</t>
        </is>
      </c>
      <c r="Z171" s="19">
        <f>0.16</f>
        <v>0.16</v>
      </c>
    </row>
    <row r="172">
      <c r="A172" t="inlineStr" s="17">
        <is>
          <t xml:space="preserve">Crustdata cost per brief · Modeled cost per brief · Briefcase Growth · Briefcase Growth</t>
        </is>
      </c>
      <c r="Z172" s="19">
        <f>'Model inputs'!Z170</f>
        <v>0.08</v>
      </c>
    </row>
    <row r="173">
      <c r="A173" t="inlineStr" s="17">
        <is>
          <t xml:space="preserve">Crustdata cost per brief · Modeled cost per brief · Briefcase Conservative — 5% conversion — doubled Crustdata · Briefcase Conservative — 5% conversion — doubled Crustdata</t>
        </is>
      </c>
      <c r="Z173" s="19">
        <f>0.16</f>
        <v>0.16</v>
      </c>
    </row>
    <row r="174">
      <c r="A174" t="inlineStr" s="17">
        <is>
          <t xml:space="preserve">Crustdata cost per brief · Modeled cost per brief · Briefcase Growth — 5% conversion · Briefcase Growth — 5% conversion</t>
        </is>
      </c>
      <c r="Z174" s="19">
        <f>'Model inputs'!Z170</f>
        <v>0.08</v>
      </c>
    </row>
    <row r="175">
      <c r="A175" t="inlineStr" s="17">
        <is>
          <t xml:space="preserve">Crustdata cost per brief · Modeled cost per brief · Briefcase Growth — 5% conversion — doubled Crustdata · Briefcase Growth — 5% conversion — doubled Crustdata</t>
        </is>
      </c>
      <c r="Z175" s="19">
        <f>0.16</f>
        <v>0.16</v>
      </c>
    </row>
    <row r="176">
      <c r="A176" t="inlineStr" s="17">
        <is>
          <t xml:space="preserve">Crustdata cost per brief · Modeled cost per brief · Briefcase Growth — doubled Crustdata · Briefcase Growth — doubled Crustdata</t>
        </is>
      </c>
      <c r="Z176" s="19">
        <f>0.16</f>
        <v>0.16</v>
      </c>
    </row>
    <row r="177">
      <c r="A177" t="inlineStr" s="17">
        <is>
          <t xml:space="preserve">Crustdata cost per brief · Modeled cost per brief · Briefcase Conservative — 5% conversion · Briefcase Conservative — 5% conversion</t>
        </is>
      </c>
      <c r="Z177" s="19">
        <f>'Model inputs'!Z170</f>
        <v>0.08</v>
      </c>
    </row>
    <row r="178">
      <c r="A178" t="inlineStr" s="17">
        <is>
          <t xml:space="preserve">Crustdata cost per brief · Modeled cost per brief · Briefcase Conservative · Briefcase Conservative</t>
        </is>
      </c>
      <c r="Z178" s="19">
        <f>'Model inputs'!Z170</f>
        <v>0.08</v>
      </c>
    </row>
    <row r="179">
      <c r="A179" t="inlineStr" s="17">
        <is>
          <t xml:space="preserve">Crustdata cost per brief · Modeled cost per brief · Briefcase Base — 5% conversion · Briefcase Base — 5% conversion</t>
        </is>
      </c>
      <c r="Z179" s="19">
        <f>'Model inputs'!Z170</f>
        <v>0.08</v>
      </c>
    </row>
    <row r="180">
      <c r="A180" t="inlineStr" s="17">
        <is>
          <t xml:space="preserve">Crustdata cost per brief · Modeled cost per brief · Briefcase Base — 5% conversion — doubled Crustdata · Briefcase Base — 5% conversion — doubled Crustdata</t>
        </is>
      </c>
      <c r="Z180" s="19">
        <f>0.16</f>
        <v>0.16</v>
      </c>
    </row>
    <row r="181">
      <c r="A181" t="inlineStr" s="17">
        <is>
          <t xml:space="preserve">Crustdata cost per brief · Modeled cost per brief · Briefcase Base — doubled Crustdata · Briefcase Base — doubled Crustdata</t>
        </is>
      </c>
      <c r="Z181" s="19">
        <f>0.16</f>
        <v>0.16</v>
      </c>
    </row>
    <row r="182">
      <c r="A182" t="inlineStr" s="17">
        <is>
          <t xml:space="preserve">Fixed monthly operating expenses · Monthly fixed Opex · Briefcase conversion and cost sensitivities · Briefcase Base · Briefcase Base</t>
        </is>
      </c>
      <c r="Z182" s="13">
        <f>170</f>
        <v>170</v>
      </c>
    </row>
    <row r="183">
      <c r="A183" t="inlineStr" s="17">
        <is>
          <t xml:space="preserve">Fixed monthly operating expenses · Monthly fixed Opex · Briefcase Conservative — doubled Crustdata · Briefcase Conservative — doubled Crustdata</t>
        </is>
      </c>
      <c r="Z183" s="13">
        <f>'Model inputs'!Z182</f>
        <v>170</v>
      </c>
    </row>
    <row r="184">
      <c r="A184" t="inlineStr" s="17">
        <is>
          <t xml:space="preserve">Fixed monthly operating expenses · Monthly fixed Opex · Briefcase Growth · Briefcase Growth</t>
        </is>
      </c>
      <c r="Z184" s="13">
        <f>'Model inputs'!Z182</f>
        <v>170</v>
      </c>
    </row>
    <row r="185">
      <c r="A185" t="inlineStr" s="17">
        <is>
          <t xml:space="preserve">Fixed monthly operating expenses · Monthly fixed Opex · Briefcase Conservative — 5% conversion — doubled Crustdata · Briefcase Conservative — 5% conversion — doubled Crustdata</t>
        </is>
      </c>
      <c r="Z185" s="13">
        <f>'Model inputs'!Z182</f>
        <v>170</v>
      </c>
    </row>
    <row r="186">
      <c r="A186" t="inlineStr" s="17">
        <is>
          <t xml:space="preserve">Fixed monthly operating expenses · Monthly fixed Opex · Briefcase Growth — 5% conversion · Briefcase Growth — 5% conversion</t>
        </is>
      </c>
      <c r="Z186" s="13">
        <f>'Model inputs'!Z182</f>
        <v>170</v>
      </c>
    </row>
    <row r="187">
      <c r="A187" t="inlineStr" s="17">
        <is>
          <t xml:space="preserve">Fixed monthly operating expenses · Monthly fixed Opex · Briefcase Growth — 5% conversion — doubled Crustdata · Briefcase Growth — 5% conversion — doubled Crustdata</t>
        </is>
      </c>
      <c r="Z187" s="13">
        <f>'Model inputs'!Z182</f>
        <v>170</v>
      </c>
    </row>
    <row r="188">
      <c r="A188" t="inlineStr" s="17">
        <is>
          <t xml:space="preserve">Fixed monthly operating expenses · Monthly fixed Opex · Briefcase Growth — doubled Crustdata · Briefcase Growth — doubled Crustdata</t>
        </is>
      </c>
      <c r="Z188" s="13">
        <f>'Model inputs'!Z182</f>
        <v>170</v>
      </c>
    </row>
    <row r="189">
      <c r="A189" t="inlineStr" s="17">
        <is>
          <t xml:space="preserve">Fixed monthly operating expenses · Monthly fixed Opex · Briefcase Conservative — 5% conversion · Briefcase Conservative — 5% conversion</t>
        </is>
      </c>
      <c r="Z189" s="13">
        <f>'Model inputs'!Z182</f>
        <v>170</v>
      </c>
    </row>
    <row r="190">
      <c r="A190" t="inlineStr" s="17">
        <is>
          <t xml:space="preserve">Fixed monthly operating expenses · Monthly fixed Opex · Briefcase Conservative · Briefcase Conservative</t>
        </is>
      </c>
      <c r="Z190" s="13">
        <f>'Model inputs'!Z182</f>
        <v>170</v>
      </c>
    </row>
    <row r="191">
      <c r="A191" t="inlineStr" s="17">
        <is>
          <t xml:space="preserve">Fixed monthly operating expenses · Monthly fixed Opex · Briefcase Base — 5% conversion · Briefcase Base — 5% conversion</t>
        </is>
      </c>
      <c r="Z191" s="13">
        <f>'Model inputs'!Z182</f>
        <v>170</v>
      </c>
    </row>
    <row r="192">
      <c r="A192" t="inlineStr" s="17">
        <is>
          <t xml:space="preserve">Fixed monthly operating expenses · Monthly fixed Opex · Briefcase Base — 5% conversion — doubled Crustdata · Briefcase Base — 5% conversion — doubled Crustdata</t>
        </is>
      </c>
      <c r="Z192" s="13">
        <f>'Model inputs'!Z182</f>
        <v>170</v>
      </c>
    </row>
    <row r="193">
      <c r="A193" t="inlineStr" s="17">
        <is>
          <t xml:space="preserve">Fixed monthly operating expenses · Monthly fixed Opex · Briefcase Base — doubled Crustdata · Briefcase Base — doubled Crustdata</t>
        </is>
      </c>
      <c r="Z193" s="13">
        <f>'Model inputs'!Z182</f>
        <v>170</v>
      </c>
    </row>
    <row r="194">
      <c r="A194" t="inlineStr" s="17">
        <is>
          <t xml:space="preserve">Full-allowance briefs · Full-allowance COGS · Briefcase conversion and cost sensitivities · Briefcase Base · Briefcase Base</t>
        </is>
      </c>
      <c r="B194" s="13">
        <v>0</v>
      </c>
      <c r="C194" s="13">
        <f>'Model inputs'!C311*'Model inputs'!Z297*52/12+'Model inputs'!C260*'Model inputs'!Z337+'Model inputs'!C208*'Model inputs'!Z261+'Model inputs'!Z323</f>
        <v>22400</v>
      </c>
      <c r="D194" s="13">
        <v>0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</row>
    <row r="195">
      <c r="A195" t="inlineStr" s="17">
        <is>
          <t xml:space="preserve">Full-allowance briefs · Briefcase Conservative — doubled Crustdata</t>
        </is>
      </c>
      <c r="C195" s="13">
        <f>'Model inputs'!C312*'Model inputs'!Z298*52/12+'Briefcase conversion and cost s'!B7*'Model inputs'!Z338+'Model inputs'!C209*'Model inputs'!Z262+'Model inputs'!Z324</f>
        <v>6800</v>
      </c>
    </row>
    <row r="196">
      <c r="A196" t="inlineStr" s="17">
        <is>
          <t xml:space="preserve">Full-allowance briefs · Briefcase Growth</t>
        </is>
      </c>
      <c r="C196" s="13">
        <f>'Model inputs'!C313*'Model inputs'!Z299*52/12+'Briefcase conversion and cost s'!B13*'Model inputs'!Z339+'Model inputs'!C210*'Model inputs'!Z263+'Model inputs'!Z325</f>
        <v>76000</v>
      </c>
    </row>
    <row r="197">
      <c r="A197" t="inlineStr" s="17">
        <is>
          <t xml:space="preserve">Full-allowance briefs · Briefcase Conservative — 5% conversion — doubled Crustdata</t>
        </is>
      </c>
      <c r="C197" s="13">
        <f>'Model inputs'!C314*'Model inputs'!Z300*52/12+'Briefcase conversion and cost s'!B9*'Model inputs'!Z340+'Model inputs'!C211*'Model inputs'!Z264+'Model inputs'!Z326</f>
        <v>6000</v>
      </c>
    </row>
    <row r="198">
      <c r="A198" t="inlineStr" s="17">
        <is>
          <t xml:space="preserve">Full-allowance briefs · Briefcase Growth — 5% conversion</t>
        </is>
      </c>
      <c r="C198" s="13">
        <f>'Model inputs'!C315*'Model inputs'!Z301*52/12+'Briefcase conversion and cost s'!B15*'Model inputs'!Z341+'Model inputs'!C212*'Model inputs'!Z265+'Model inputs'!Z327</f>
        <v>68000</v>
      </c>
    </row>
    <row r="199">
      <c r="A199" t="inlineStr" s="17">
        <is>
          <t xml:space="preserve">Full-allowance briefs · Briefcase Growth — 5% conversion — doubled Crustdata</t>
        </is>
      </c>
      <c r="C199" s="13">
        <f>'Model inputs'!C316*'Model inputs'!Z302*52/12+'Briefcase conversion and cost s'!B16*'Model inputs'!Z342+'Model inputs'!C213*'Model inputs'!Z266+'Model inputs'!Z328</f>
        <v>68000</v>
      </c>
    </row>
    <row r="200">
      <c r="A200" t="inlineStr" s="17">
        <is>
          <t xml:space="preserve">Full-allowance briefs · Briefcase Growth — doubled Crustdata</t>
        </is>
      </c>
      <c r="C200" s="13">
        <f>'Model inputs'!C317*'Model inputs'!Z303*52/12+'Briefcase conversion and cost s'!B14*'Model inputs'!Z343+'Model inputs'!C214*'Model inputs'!Z267+'Model inputs'!Z329</f>
        <v>76000</v>
      </c>
    </row>
    <row r="201">
      <c r="A201" t="inlineStr" s="17">
        <is>
          <t xml:space="preserve">Full-allowance briefs · Briefcase Conservative — 5% conversion</t>
        </is>
      </c>
      <c r="C201" s="13">
        <f>'Model inputs'!C318*'Model inputs'!Z304*52/12+'Briefcase conversion and cost s'!B8*'Model inputs'!Z344+'Model inputs'!C215*'Model inputs'!Z268+'Model inputs'!Z330</f>
        <v>6000</v>
      </c>
    </row>
    <row r="202">
      <c r="A202" t="inlineStr" s="17">
        <is>
          <t xml:space="preserve">Full-allowance briefs · Briefcase Conservative</t>
        </is>
      </c>
      <c r="C202" s="13">
        <f>'Model inputs'!C319*'Model inputs'!Z305*52/12+'Briefcase conversion and cost s'!B6*'Model inputs'!Z345+'Model inputs'!C216*'Model inputs'!Z269+'Model inputs'!Z331</f>
        <v>6800</v>
      </c>
    </row>
    <row r="203">
      <c r="A203" t="inlineStr" s="17">
        <is>
          <t xml:space="preserve">Full-allowance briefs · Briefcase Base — 5% conversion</t>
        </is>
      </c>
      <c r="C203" s="13">
        <f>'Model inputs'!C320*'Model inputs'!Z306*52/12+'Briefcase conversion and cost s'!B11*'Model inputs'!Z346+'Model inputs'!C217*'Model inputs'!Z270+'Model inputs'!Z332</f>
        <v>20000</v>
      </c>
    </row>
    <row r="204">
      <c r="A204" t="inlineStr" s="17">
        <is>
          <t xml:space="preserve">Full-allowance briefs · Briefcase Base — 5% conversion — doubled Crustdata</t>
        </is>
      </c>
      <c r="C204" s="13">
        <f>'Model inputs'!C321*'Model inputs'!Z307*52/12+'Briefcase conversion and cost s'!B12*'Model inputs'!Z347+'Model inputs'!C218*'Model inputs'!Z271+'Model inputs'!Z333</f>
        <v>20000</v>
      </c>
    </row>
    <row r="205">
      <c r="A205" t="inlineStr" s="17">
        <is>
          <t xml:space="preserve">Full-allowance briefs · Briefcase Base — doubled Crustdata</t>
        </is>
      </c>
      <c r="C205" s="13">
        <f>'Model inputs'!C322*'Model inputs'!Z308*52/12+'Briefcase conversion and cost s'!B10*'Model inputs'!Z348+'Model inputs'!C219*'Model inputs'!Z272+'Model inputs'!Z334</f>
        <v>22400</v>
      </c>
    </row>
    <row r="206">
      <c r="A206" t="inlineStr" s="17">
        <is>
          <t xml:space="preserve">Full-allowance COGS · Briefcase cash and runway</t>
        </is>
      </c>
      <c r="B206" s="13">
        <f>IF('Model inputs'!B47="","",'Model inputs'!B47)</f>
        <v>0</v>
      </c>
      <c r="C206" s="13">
        <f>IF('Model inputs'!C47="","",'Model inputs'!C47)</f>
        <v>4927.999999999999</v>
      </c>
      <c r="D206" s="13">
        <v>0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f>'Model inputs'!L309*'Model inputs'!Z59</f>
        <v>4927.999999999999</v>
      </c>
      <c r="M206" s="13">
        <f>'Model inputs'!M309*'Model inputs'!Z59</f>
        <v>4927.999999999999</v>
      </c>
      <c r="N206" s="13">
        <f>'Model inputs'!N309*'Model inputs'!Z59</f>
        <v>4927.999999999999</v>
      </c>
      <c r="O206" s="13">
        <f>'Model inputs'!O309*'Model inputs'!Z59</f>
        <v>4927.999999999999</v>
      </c>
      <c r="P206" s="13">
        <f>'Model inputs'!P309*'Model inputs'!Z59</f>
        <v>4927.999999999999</v>
      </c>
      <c r="Q206" s="13">
        <f>'Model inputs'!Q309*'Model inputs'!Z59</f>
        <v>4927.999999999999</v>
      </c>
      <c r="R206" s="13">
        <f>'Model inputs'!R309*'Model inputs'!Z59</f>
        <v>4927.999999999999</v>
      </c>
      <c r="S206" s="13">
        <f>'Model inputs'!S309*'Model inputs'!Z59</f>
        <v>4927.999999999999</v>
      </c>
      <c r="T206" s="13">
        <f>'Model inputs'!T309*'Model inputs'!Z59</f>
        <v>4927.999999999999</v>
      </c>
      <c r="U206" s="13">
        <f>'Model inputs'!U309*'Model inputs'!Z59</f>
        <v>4927.999999999999</v>
      </c>
      <c r="V206" s="13">
        <f>'Model inputs'!V309*'Model inputs'!Z59</f>
        <v>4927.999999999999</v>
      </c>
      <c r="W206" s="13">
        <f>'Model inputs'!W309*'Model inputs'!Z59</f>
        <v>4927.999999999999</v>
      </c>
      <c r="X206" s="13">
        <f>'Model inputs'!X309*'Model inputs'!Z59</f>
        <v>4927.999999999999</v>
      </c>
      <c r="Y206" s="13">
        <f>'Model inputs'!Y309*'Model inputs'!Z59</f>
        <v>4927.999999999999</v>
      </c>
    </row>
    <row r="207">
      <c r="A207" t="inlineStr" s="17">
        <is>
          <t xml:space="preserve">Gross profit · Briefcase cash and runway</t>
        </is>
      </c>
      <c r="B207" s="9">
        <v>0</v>
      </c>
      <c r="C207" s="9">
        <f>IF('Model inputs'!C124="","",'Model inputs'!C124)</f>
        <v>1980.0000000000002</v>
      </c>
      <c r="D207" s="9">
        <v>0</v>
      </c>
      <c r="E207" s="9">
        <v>0</v>
      </c>
      <c r="F207" s="9">
        <v>0</v>
      </c>
      <c r="G207" s="9">
        <v>0</v>
      </c>
      <c r="H207" s="9">
        <v>0</v>
      </c>
      <c r="I207" s="9">
        <v>0</v>
      </c>
      <c r="J207" s="9">
        <v>0</v>
      </c>
      <c r="K207" s="9">
        <v>0</v>
      </c>
      <c r="L207" s="9">
        <f>'Model inputs'!L221-'Model inputs'!L310</f>
        <v>1980.0000000000002</v>
      </c>
      <c r="M207" s="9">
        <f>'Model inputs'!M221-'Model inputs'!M310</f>
        <v>1980.0000000000002</v>
      </c>
      <c r="N207" s="9">
        <f>'Model inputs'!N221-'Model inputs'!N310</f>
        <v>1980.0000000000002</v>
      </c>
      <c r="O207" s="9">
        <f>'Model inputs'!O221-'Model inputs'!O310</f>
        <v>1980.0000000000002</v>
      </c>
      <c r="P207" s="9">
        <f>'Model inputs'!P221-'Model inputs'!P310</f>
        <v>1980.0000000000002</v>
      </c>
      <c r="Q207" s="9">
        <f>'Model inputs'!Q221-'Model inputs'!Q310</f>
        <v>1980.0000000000002</v>
      </c>
      <c r="R207" s="9">
        <f>'Model inputs'!R221-'Model inputs'!R310</f>
        <v>1980.0000000000002</v>
      </c>
      <c r="S207" s="9">
        <f>'Model inputs'!S221-'Model inputs'!S310</f>
        <v>1980.0000000000002</v>
      </c>
      <c r="T207" s="9">
        <f>'Model inputs'!T221-'Model inputs'!T310</f>
        <v>1980.0000000000002</v>
      </c>
      <c r="U207" s="9">
        <f>'Model inputs'!U221-'Model inputs'!U310</f>
        <v>1980.0000000000002</v>
      </c>
      <c r="V207" s="9">
        <f>'Model inputs'!V221-'Model inputs'!V310</f>
        <v>1980.0000000000002</v>
      </c>
      <c r="W207" s="9">
        <f>'Model inputs'!W221-'Model inputs'!W310</f>
        <v>1980.0000000000002</v>
      </c>
      <c r="X207" s="9">
        <f>'Model inputs'!X221-'Model inputs'!X310</f>
        <v>1980.0000000000002</v>
      </c>
      <c r="Y207" s="9">
        <f>'Model inputs'!Y221-'Model inputs'!Y310</f>
        <v>1980.0000000000002</v>
      </c>
    </row>
    <row r="208">
      <c r="A208" t="inlineStr" s="17">
        <is>
          <t xml:space="preserve">Monthly career-center seats · Career-center MRR · Briefcase Base · Briefcase Base</t>
        </is>
      </c>
      <c r="B208" s="13">
        <v>0</v>
      </c>
      <c r="C208" s="13">
        <f>IF('Model inputs'!Z285="","",'Model inputs'!Z285)</f>
        <v>100</v>
      </c>
      <c r="D208" s="13">
        <v>0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</row>
    <row r="209">
      <c r="A209" t="inlineStr" s="17">
        <is>
          <t xml:space="preserve">Monthly career-center seats · Briefcase Conservative — doubled Crustdata</t>
        </is>
      </c>
      <c r="C209" s="13">
        <f>IF('Model inputs'!Z286="","",'Model inputs'!Z286)</f>
        <v>0</v>
      </c>
    </row>
    <row r="210">
      <c r="A210" t="inlineStr" s="17">
        <is>
          <t xml:space="preserve">Monthly career-center seats · Briefcase Growth</t>
        </is>
      </c>
      <c r="C210" s="13">
        <f>IF('Model inputs'!Z287="","",'Model inputs'!Z287)</f>
        <v>400</v>
      </c>
    </row>
    <row r="211">
      <c r="A211" t="inlineStr" s="17">
        <is>
          <t xml:space="preserve">Monthly career-center seats · Briefcase Conservative — 5% conversion — doubled Crustdata</t>
        </is>
      </c>
      <c r="C211" s="13">
        <f>IF('Model inputs'!Z288="","",'Model inputs'!Z288)</f>
        <v>0</v>
      </c>
    </row>
    <row r="212">
      <c r="A212" t="inlineStr" s="17">
        <is>
          <t xml:space="preserve">Monthly career-center seats · Briefcase Growth — 5% conversion</t>
        </is>
      </c>
      <c r="C212" s="13">
        <f>IF('Model inputs'!Z289="","",'Model inputs'!Z289)</f>
        <v>400</v>
      </c>
    </row>
    <row r="213">
      <c r="A213" t="inlineStr" s="17">
        <is>
          <t xml:space="preserve">Monthly career-center seats · Briefcase Growth — 5% conversion — doubled Crustdata</t>
        </is>
      </c>
      <c r="C213" s="13">
        <f>IF('Model inputs'!Z290="","",'Model inputs'!Z290)</f>
        <v>400</v>
      </c>
    </row>
    <row r="214">
      <c r="A214" t="inlineStr" s="17">
        <is>
          <t xml:space="preserve">Monthly career-center seats · Briefcase Growth — doubled Crustdata</t>
        </is>
      </c>
      <c r="C214" s="13">
        <f>IF('Model inputs'!Z291="","",'Model inputs'!Z291)</f>
        <v>400</v>
      </c>
    </row>
    <row r="215">
      <c r="A215" t="inlineStr" s="17">
        <is>
          <t xml:space="preserve">Monthly career-center seats · Briefcase Conservative — 5% conversion</t>
        </is>
      </c>
      <c r="C215" s="13">
        <f>IF('Model inputs'!Z292="","",'Model inputs'!Z292)</f>
        <v>0</v>
      </c>
    </row>
    <row r="216">
      <c r="A216" t="inlineStr" s="17">
        <is>
          <t xml:space="preserve">Monthly career-center seats · Briefcase Conservative</t>
        </is>
      </c>
      <c r="C216" s="13">
        <f>IF('Model inputs'!Z293="","",'Model inputs'!Z293)</f>
        <v>0</v>
      </c>
    </row>
    <row r="217">
      <c r="A217" t="inlineStr" s="17">
        <is>
          <t xml:space="preserve">Monthly career-center seats · Briefcase Base — 5% conversion</t>
        </is>
      </c>
      <c r="C217" s="13">
        <f>IF('Model inputs'!Z294="","",'Model inputs'!Z294)</f>
        <v>100</v>
      </c>
    </row>
    <row r="218">
      <c r="A218" t="inlineStr" s="17">
        <is>
          <t xml:space="preserve">Monthly career-center seats · Briefcase Base — 5% conversion — doubled Crustdata</t>
        </is>
      </c>
      <c r="C218" s="13">
        <f>IF('Model inputs'!Z295="","",'Model inputs'!Z295)</f>
        <v>100</v>
      </c>
    </row>
    <row r="219">
      <c r="A219" t="inlineStr" s="17">
        <is>
          <t xml:space="preserve">Monthly career-center seats · Briefcase Base — doubled Crustdata</t>
        </is>
      </c>
      <c r="C219" s="13">
        <f>IF('Model inputs'!Z296="","",'Model inputs'!Z296)</f>
        <v>100</v>
      </c>
    </row>
    <row r="220">
      <c r="A220" t="inlineStr" s="17">
        <is>
          <t xml:space="preserve">Monthly fixed Opex · Briefcase cash and runway</t>
        </is>
      </c>
      <c r="B220" s="13">
        <f>IF('Model inputs'!B84="","",'Model inputs'!B84)</f>
        <v>0</v>
      </c>
      <c r="C220" s="13">
        <f>IF('Model inputs'!C84="","",'Model inputs'!C84)</f>
        <v>170</v>
      </c>
      <c r="D220" s="13">
        <v>0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f>IF('Model inputs'!Z182="","",'Model inputs'!Z182)</f>
        <v>170</v>
      </c>
      <c r="M220" s="13">
        <f>IF('Model inputs'!Z182="","",'Model inputs'!Z182)</f>
        <v>170</v>
      </c>
      <c r="N220" s="13">
        <f>IF('Model inputs'!Z182="","",'Model inputs'!Z182)</f>
        <v>170</v>
      </c>
      <c r="O220" s="13">
        <f>IF('Model inputs'!Z182="","",'Model inputs'!Z182)</f>
        <v>170</v>
      </c>
      <c r="P220" s="13">
        <f>IF('Model inputs'!Z182="","",'Model inputs'!Z182)</f>
        <v>170</v>
      </c>
      <c r="Q220" s="13">
        <f>IF('Model inputs'!Z182="","",'Model inputs'!Z182)</f>
        <v>170</v>
      </c>
      <c r="R220" s="13">
        <f>IF('Model inputs'!Z182="","",'Model inputs'!Z182)</f>
        <v>170</v>
      </c>
      <c r="S220" s="13">
        <f>IF('Model inputs'!Z182="","",'Model inputs'!Z182)</f>
        <v>170</v>
      </c>
      <c r="T220" s="13">
        <f>IF('Model inputs'!Z182="","",'Model inputs'!Z182)</f>
        <v>170</v>
      </c>
      <c r="U220" s="13">
        <f>IF('Model inputs'!Z182="","",'Model inputs'!Z182)</f>
        <v>170</v>
      </c>
      <c r="V220" s="13">
        <f>IF('Model inputs'!Z182="","",'Model inputs'!Z182)</f>
        <v>170</v>
      </c>
      <c r="W220" s="13">
        <f>IF('Model inputs'!Z182="","",'Model inputs'!Z182)</f>
        <v>170</v>
      </c>
      <c r="X220" s="13">
        <f>IF('Model inputs'!Z182="","",'Model inputs'!Z182)</f>
        <v>170</v>
      </c>
      <c r="Y220" s="13">
        <f>IF('Model inputs'!Z182="","",'Model inputs'!Z182)</f>
        <v>170</v>
      </c>
    </row>
    <row r="221">
      <c r="A221" t="inlineStr" s="17">
        <is>
          <t xml:space="preserve">Monthly revenue · Briefcase cash and runway</t>
        </is>
      </c>
      <c r="B221" s="9">
        <f>IF('Model inputs'!B96="","",'Model inputs'!B96)</f>
        <v>0</v>
      </c>
      <c r="C221" s="9">
        <f>IF('Model inputs'!C96="","",'Model inputs'!C96)</f>
        <v>3080</v>
      </c>
      <c r="D221" s="9">
        <v>0</v>
      </c>
      <c r="E221" s="9">
        <v>0</v>
      </c>
      <c r="F221" s="9">
        <v>0</v>
      </c>
      <c r="G221" s="9">
        <v>0</v>
      </c>
      <c r="H221" s="9">
        <v>0</v>
      </c>
      <c r="I221" s="9">
        <v>0</v>
      </c>
      <c r="J221" s="9">
        <v>0</v>
      </c>
      <c r="K221" s="9">
        <v>0</v>
      </c>
      <c r="L221" s="9">
        <f>'Model inputs'!L335+'Model inputs'!L336</f>
        <v>3080</v>
      </c>
      <c r="M221" s="9">
        <f>'Model inputs'!M335+'Model inputs'!M336</f>
        <v>3080</v>
      </c>
      <c r="N221" s="9">
        <f>'Model inputs'!N335+'Model inputs'!N336</f>
        <v>3080</v>
      </c>
      <c r="O221" s="9">
        <f>'Model inputs'!O335+'Model inputs'!O336</f>
        <v>3080</v>
      </c>
      <c r="P221" s="9">
        <f>'Model inputs'!P335+'Model inputs'!P336</f>
        <v>3080</v>
      </c>
      <c r="Q221" s="9">
        <f>'Model inputs'!Q335+'Model inputs'!Q336</f>
        <v>3080</v>
      </c>
      <c r="R221" s="9">
        <f>'Model inputs'!R335+'Model inputs'!R336</f>
        <v>3080</v>
      </c>
      <c r="S221" s="9">
        <f>'Model inputs'!S335+'Model inputs'!S336</f>
        <v>3080</v>
      </c>
      <c r="T221" s="9">
        <f>'Model inputs'!T335+'Model inputs'!T336</f>
        <v>3080</v>
      </c>
      <c r="U221" s="9">
        <f>'Model inputs'!U335+'Model inputs'!U336</f>
        <v>3080</v>
      </c>
      <c r="V221" s="9">
        <f>'Model inputs'!V335+'Model inputs'!V336</f>
        <v>3080</v>
      </c>
      <c r="W221" s="9">
        <f>'Model inputs'!W335+'Model inputs'!W336</f>
        <v>3080</v>
      </c>
      <c r="X221" s="9">
        <f>'Model inputs'!X335+'Model inputs'!X336</f>
        <v>3080</v>
      </c>
      <c r="Y221" s="9">
        <f>'Model inputs'!Y335+'Model inputs'!Y336</f>
        <v>3080</v>
      </c>
    </row>
    <row r="222">
      <c r="A222" t="inlineStr" s="17">
        <is>
          <t xml:space="preserve">Overage revenue · Monthly revenue · Briefcase conversion and cost sensitivities · Briefcase Base · Briefcase Base</t>
        </is>
      </c>
      <c r="B222" s="13">
        <v>0</v>
      </c>
      <c r="C222" s="13">
        <f>'Model inputs'!Z323*'Model inputs'!Z273</f>
        <v>0</v>
      </c>
      <c r="D222" s="13">
        <v>0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</row>
    <row r="223">
      <c r="A223" t="inlineStr" s="17">
        <is>
          <t xml:space="preserve">Overage revenue · Briefcase Conservative — doubled Crustdata</t>
        </is>
      </c>
      <c r="C223" s="13">
        <f>'Model inputs'!Z324*'Model inputs'!Z274</f>
        <v>0</v>
      </c>
    </row>
    <row r="224">
      <c r="A224" t="inlineStr" s="17">
        <is>
          <t xml:space="preserve">Overage revenue · Briefcase Growth</t>
        </is>
      </c>
      <c r="C224" s="13">
        <f>'Model inputs'!Z325*'Model inputs'!Z275</f>
        <v>0</v>
      </c>
    </row>
    <row r="225">
      <c r="A225" t="inlineStr" s="17">
        <is>
          <t xml:space="preserve">Overage revenue · Briefcase Conservative — 5% conversion — doubled Crustdata</t>
        </is>
      </c>
      <c r="C225" s="13">
        <f>'Model inputs'!Z326*'Model inputs'!Z276</f>
        <v>0</v>
      </c>
    </row>
    <row r="226">
      <c r="A226" t="inlineStr" s="17">
        <is>
          <t xml:space="preserve">Overage revenue · Briefcase Growth — 5% conversion</t>
        </is>
      </c>
      <c r="C226" s="13">
        <f>'Model inputs'!Z327*'Model inputs'!Z277</f>
        <v>0</v>
      </c>
    </row>
    <row r="227">
      <c r="A227" t="inlineStr" s="17">
        <is>
          <t xml:space="preserve">Overage revenue · Briefcase Growth — 5% conversion — doubled Crustdata</t>
        </is>
      </c>
      <c r="C227" s="13">
        <f>'Model inputs'!Z328*'Model inputs'!Z278</f>
        <v>0</v>
      </c>
    </row>
    <row r="228">
      <c r="A228" t="inlineStr" s="17">
        <is>
          <t xml:space="preserve">Overage revenue · Briefcase Growth — doubled Crustdata</t>
        </is>
      </c>
      <c r="C228" s="13">
        <f>'Model inputs'!Z329*'Model inputs'!Z279</f>
        <v>0</v>
      </c>
    </row>
    <row r="229">
      <c r="A229" t="inlineStr" s="17">
        <is>
          <t xml:space="preserve">Overage revenue · Briefcase Conservative — 5% conversion</t>
        </is>
      </c>
      <c r="C229" s="13">
        <f>'Model inputs'!Z330*'Model inputs'!Z280</f>
        <v>0</v>
      </c>
    </row>
    <row r="230">
      <c r="A230" t="inlineStr" s="17">
        <is>
          <t xml:space="preserve">Overage revenue · Briefcase Conservative</t>
        </is>
      </c>
      <c r="C230" s="13">
        <f>'Model inputs'!Z331*'Model inputs'!Z281</f>
        <v>0</v>
      </c>
    </row>
    <row r="231">
      <c r="A231" t="inlineStr" s="17">
        <is>
          <t xml:space="preserve">Overage revenue · Briefcase Base — 5% conversion</t>
        </is>
      </c>
      <c r="C231" s="13">
        <f>'Model inputs'!Z332*'Model inputs'!Z282</f>
        <v>0</v>
      </c>
    </row>
    <row r="232">
      <c r="A232" t="inlineStr" s="17">
        <is>
          <t xml:space="preserve">Overage revenue · Briefcase Base — 5% conversion — doubled Crustdata</t>
        </is>
      </c>
      <c r="C232" s="13">
        <f>'Model inputs'!Z333*'Model inputs'!Z283</f>
        <v>0</v>
      </c>
    </row>
    <row r="233">
      <c r="A233" t="inlineStr" s="17">
        <is>
          <t xml:space="preserve">Overage revenue · Briefcase Base — doubled Crustdata</t>
        </is>
      </c>
      <c r="C233" s="13">
        <f>'Model inputs'!Z334*'Model inputs'!Z284</f>
        <v>0</v>
      </c>
    </row>
    <row r="234">
      <c r="A234" t="inlineStr" s="17">
        <is>
          <t xml:space="preserve">Pro monthly price · Pro MRR · Briefcase Base · Briefcase Base</t>
        </is>
      </c>
      <c r="Z234" s="13">
        <f>19</f>
        <v>19</v>
      </c>
    </row>
    <row r="235">
      <c r="A235" t="inlineStr" s="17">
        <is>
          <t xml:space="preserve">Pro monthly price · Pro MRR · Briefcase Conservative — doubled Crustdata · Briefcase Conservative — doubled Crustdata</t>
        </is>
      </c>
      <c r="Z235" s="13">
        <f>'Model inputs'!Z234</f>
        <v>19</v>
      </c>
    </row>
    <row r="236">
      <c r="A236" t="inlineStr" s="17">
        <is>
          <t xml:space="preserve">Pro monthly price · Pro MRR · Briefcase Growth · Briefcase Growth</t>
        </is>
      </c>
      <c r="Z236" s="13">
        <f>'Model inputs'!Z234</f>
        <v>19</v>
      </c>
    </row>
    <row r="237">
      <c r="A237" t="inlineStr" s="17">
        <is>
          <t xml:space="preserve">Pro monthly price · Pro MRR · Briefcase Conservative — 5% conversion — doubled Crustdata · Briefcase Conservative — 5% conversion — doubled Crustdata</t>
        </is>
      </c>
      <c r="Z237" s="13">
        <f>'Model inputs'!Z234</f>
        <v>19</v>
      </c>
    </row>
    <row r="238">
      <c r="A238" t="inlineStr" s="17">
        <is>
          <t xml:space="preserve">Pro monthly price · Pro MRR · Briefcase Growth — 5% conversion · Briefcase Growth — 5% conversion</t>
        </is>
      </c>
      <c r="Z238" s="13">
        <f>'Model inputs'!Z234</f>
        <v>19</v>
      </c>
    </row>
    <row r="239">
      <c r="A239" t="inlineStr" s="17">
        <is>
          <t xml:space="preserve">Pro monthly price · Pro MRR · Briefcase Growth — 5% conversion — doubled Crustdata · Briefcase Growth — 5% conversion — doubled Crustdata</t>
        </is>
      </c>
      <c r="Z239" s="13">
        <f>'Model inputs'!Z234</f>
        <v>19</v>
      </c>
    </row>
    <row r="240">
      <c r="A240" t="inlineStr" s="17">
        <is>
          <t xml:space="preserve">Pro monthly price · Pro MRR · Briefcase Growth — doubled Crustdata · Briefcase Growth — doubled Crustdata</t>
        </is>
      </c>
      <c r="Z240" s="13">
        <f>'Model inputs'!Z234</f>
        <v>19</v>
      </c>
    </row>
    <row r="241">
      <c r="A241" t="inlineStr" s="17">
        <is>
          <t xml:space="preserve">Pro monthly price · Pro MRR · Briefcase Conservative — 5% conversion · Briefcase Conservative — 5% conversion</t>
        </is>
      </c>
      <c r="Z241" s="13">
        <f>'Model inputs'!Z234</f>
        <v>19</v>
      </c>
    </row>
    <row r="242">
      <c r="A242" t="inlineStr" s="17">
        <is>
          <t xml:space="preserve">Pro monthly price · Pro MRR · Briefcase Conservative · Briefcase Conservative</t>
        </is>
      </c>
      <c r="Z242" s="13">
        <f>'Model inputs'!Z234</f>
        <v>19</v>
      </c>
    </row>
    <row r="243">
      <c r="A243" t="inlineStr" s="17">
        <is>
          <t xml:space="preserve">Pro monthly price · Pro MRR · Briefcase Base — 5% conversion · Briefcase Base — 5% conversion</t>
        </is>
      </c>
      <c r="Z243" s="13">
        <f>'Model inputs'!Z234</f>
        <v>19</v>
      </c>
    </row>
    <row r="244">
      <c r="A244" t="inlineStr" s="17">
        <is>
          <t xml:space="preserve">Pro monthly price · Pro MRR · Briefcase Base — 5% conversion — doubled Crustdata · Briefcase Base — 5% conversion — doubled Crustdata</t>
        </is>
      </c>
      <c r="Z244" s="13">
        <f>'Model inputs'!Z234</f>
        <v>19</v>
      </c>
    </row>
    <row r="245">
      <c r="A245" t="inlineStr" s="17">
        <is>
          <t xml:space="preserve">Pro monthly price · Pro MRR · Briefcase Base — doubled Crustdata · Briefcase Base — doubled Crustdata</t>
        </is>
      </c>
      <c r="Z245" s="13">
        <f>'Model inputs'!Z234</f>
        <v>19</v>
      </c>
    </row>
    <row r="246">
      <c r="A246" t="inlineStr" s="17">
        <is>
          <t xml:space="preserve">Rendered briefs per month · Monthly briefs · Briefcase conversion and cost sensitivities · Briefcase Base · Briefcase Base</t>
        </is>
      </c>
      <c r="Z246" s="13">
        <f>5000</f>
        <v>5000</v>
      </c>
    </row>
    <row r="247">
      <c r="A247" t="inlineStr" s="17">
        <is>
          <t xml:space="preserve">Rendered briefs per month · Monthly briefs · Briefcase Conservative — doubled Crustdata · Briefcase Conservative — doubled Crustdata</t>
        </is>
      </c>
      <c r="Z247" s="13">
        <f>1200</f>
        <v>1200</v>
      </c>
    </row>
    <row r="248">
      <c r="A248" t="inlineStr" s="17">
        <is>
          <t xml:space="preserve">Rendered briefs per month · Monthly briefs · Briefcase Growth · Briefcase Growth</t>
        </is>
      </c>
      <c r="Z248" s="13">
        <f>18000</f>
        <v>18000</v>
      </c>
    </row>
    <row r="249">
      <c r="A249" t="inlineStr" s="17">
        <is>
          <t xml:space="preserve">Rendered briefs per month · Monthly briefs · Briefcase Conservative — 5% conversion — doubled Crustdata · Briefcase Conservative — 5% conversion — doubled Crustdata</t>
        </is>
      </c>
      <c r="Z249" s="13">
        <f>1200</f>
        <v>1200</v>
      </c>
    </row>
    <row r="250">
      <c r="A250" t="inlineStr" s="17">
        <is>
          <t xml:space="preserve">Rendered briefs per month · Monthly briefs · Briefcase Growth — 5% conversion · Briefcase Growth — 5% conversion</t>
        </is>
      </c>
      <c r="Z250" s="13">
        <f>18000</f>
        <v>18000</v>
      </c>
    </row>
    <row r="251">
      <c r="A251" t="inlineStr" s="17">
        <is>
          <t xml:space="preserve">Rendered briefs per month · Monthly briefs · Briefcase Growth — 5% conversion — doubled Crustdata · Briefcase Growth — 5% conversion — doubled Crustdata</t>
        </is>
      </c>
      <c r="Z251" s="13">
        <f>18000</f>
        <v>18000</v>
      </c>
    </row>
    <row r="252">
      <c r="A252" t="inlineStr" s="17">
        <is>
          <t xml:space="preserve">Rendered briefs per month · Monthly briefs · Briefcase Growth — doubled Crustdata · Briefcase Growth — doubled Crustdata</t>
        </is>
      </c>
      <c r="Z252" s="13">
        <f>18000</f>
        <v>18000</v>
      </c>
    </row>
    <row r="253">
      <c r="A253" t="inlineStr" s="17">
        <is>
          <t xml:space="preserve">Rendered briefs per month · Monthly briefs · Briefcase Conservative — 5% conversion · Briefcase Conservative — 5% conversion</t>
        </is>
      </c>
      <c r="Z253" s="13">
        <f>1200</f>
        <v>1200</v>
      </c>
    </row>
    <row r="254">
      <c r="A254" t="inlineStr" s="17">
        <is>
          <t xml:space="preserve">Rendered briefs per month · Monthly briefs · Briefcase Conservative · Briefcase Conservative</t>
        </is>
      </c>
      <c r="Z254" s="13">
        <f>1200</f>
        <v>1200</v>
      </c>
    </row>
    <row r="255">
      <c r="A255" t="inlineStr" s="17">
        <is>
          <t xml:space="preserve">Rendered briefs per month · Monthly briefs · Briefcase Base — 5% conversion · Briefcase Base — 5% conversion</t>
        </is>
      </c>
      <c r="Z255" s="13">
        <f>'Model inputs'!Z246</f>
        <v>5000</v>
      </c>
    </row>
    <row r="256">
      <c r="A256" t="inlineStr" s="17">
        <is>
          <t xml:space="preserve">Rendered briefs per month · Monthly briefs · Briefcase Base — 5% conversion — doubled Crustdata · Briefcase Base — 5% conversion — doubled Crustdata</t>
        </is>
      </c>
      <c r="Z256" s="13">
        <f>'Model inputs'!Z246</f>
        <v>5000</v>
      </c>
    </row>
    <row r="257">
      <c r="A257" t="inlineStr" s="17">
        <is>
          <t xml:space="preserve">Rendered briefs per month · Monthly briefs · Briefcase Base — doubled Crustdata · Briefcase Base — doubled Crustdata</t>
        </is>
      </c>
      <c r="Z257" s="13">
        <f>'Model inputs'!Z246</f>
        <v>5000</v>
      </c>
    </row>
    <row r="258">
      <c r="A258" t="inlineStr" s="17">
        <is>
          <t xml:space="preserve">Monthly cash flow · Briefcase cash chart series</t>
        </is>
      </c>
      <c r="B258" s="9">
        <f>IF('Model inputs'!B83="","",'Model inputs'!B83)</f>
        <v>0</v>
      </c>
      <c r="C258" s="9">
        <f>IF('Model inputs'!C83="","",'Model inputs'!C83)</f>
        <v>1810.0000000000002</v>
      </c>
      <c r="D258" s="9">
        <v>0</v>
      </c>
      <c r="E258" s="9">
        <v>0</v>
      </c>
      <c r="F258" s="9">
        <v>0</v>
      </c>
      <c r="G258" s="9">
        <v>0</v>
      </c>
      <c r="H258" s="9">
        <v>0</v>
      </c>
      <c r="I258" s="9">
        <v>0</v>
      </c>
      <c r="J258" s="9">
        <v>0</v>
      </c>
      <c r="K258" s="9">
        <v>0</v>
      </c>
      <c r="L258" s="9">
        <f>IF('Model inputs'!L83="","",'Model inputs'!L83)</f>
        <v>1810.0000000000002</v>
      </c>
      <c r="M258" s="9">
        <f>IF('Model inputs'!M83="","",'Model inputs'!M83)</f>
        <v>1810.0000000000002</v>
      </c>
      <c r="N258" s="9">
        <f>IF('Model inputs'!N83="","",'Model inputs'!N83)</f>
        <v>1810.0000000000002</v>
      </c>
      <c r="O258" s="9">
        <f>IF('Model inputs'!O83="","",'Model inputs'!O83)</f>
        <v>1810.0000000000002</v>
      </c>
      <c r="P258" s="9">
        <f>IF('Model inputs'!P83="","",'Model inputs'!P83)</f>
        <v>1810.0000000000002</v>
      </c>
      <c r="Q258" s="9">
        <f>IF('Model inputs'!Q83="","",'Model inputs'!Q83)</f>
        <v>1810.0000000000002</v>
      </c>
      <c r="R258" s="9">
        <f>IF('Model inputs'!R83="","",'Model inputs'!R83)</f>
        <v>1810.0000000000002</v>
      </c>
      <c r="S258" s="9">
        <f>IF('Model inputs'!S83="","",'Model inputs'!S83)</f>
        <v>1810.0000000000002</v>
      </c>
      <c r="T258" s="9">
        <f>IF('Model inputs'!T83="","",'Model inputs'!T83)</f>
        <v>1810.0000000000002</v>
      </c>
      <c r="U258" s="9">
        <f>IF('Model inputs'!U83="","",'Model inputs'!U83)</f>
        <v>1810.0000000000002</v>
      </c>
      <c r="V258" s="9">
        <f>IF('Model inputs'!V83="","",'Model inputs'!V83)</f>
        <v>1810.0000000000002</v>
      </c>
      <c r="W258" s="9">
        <f>IF('Model inputs'!W83="","",'Model inputs'!W83)</f>
        <v>1810.0000000000002</v>
      </c>
      <c r="X258" s="9">
        <f>IF('Model inputs'!X83="","",'Model inputs'!X83)</f>
        <v>1810.0000000000002</v>
      </c>
      <c r="Y258" s="9">
        <f>IF('Model inputs'!Y83="","",'Model inputs'!Y83)</f>
        <v>1810.0000000000002</v>
      </c>
    </row>
    <row r="259">
      <c r="A259" t="inlineStr" s="17">
        <is>
          <t xml:space="preserve">MRR · Monthly revenue · Briefcase conversion and cost sensitivities · Briefcase Base</t>
        </is>
      </c>
      <c r="B259" s="9">
        <v>0</v>
      </c>
      <c r="C259" s="9">
        <f>'Model inputs'!C108+'Model inputs'!C6</f>
        <v>3080</v>
      </c>
    </row>
    <row r="260">
      <c r="A260" t="inlineStr" s="17">
        <is>
          <t xml:space="preserve">Pro subscribers · Monthly revenue · Briefcase conversion and cost sensitivities · Briefcase Base</t>
        </is>
      </c>
      <c r="B260" s="13">
        <v>0</v>
      </c>
      <c r="C260" s="13">
        <f>'Model inputs'!Z22*'Model inputs'!Z34</f>
        <v>120</v>
      </c>
    </row>
    <row r="261">
      <c r="A261" t="inlineStr" s="17">
        <is>
          <t xml:space="preserve">Career-center included briefs · Full-allowance briefs · Full-allowance COGS · Briefcase conversion and cost sensitivities · Briefcase Base · Briefcase Base · Briefcase Base</t>
        </is>
      </c>
      <c r="Z261" s="13">
        <f>20</f>
        <v>20</v>
      </c>
    </row>
    <row r="262">
      <c r="A262" t="inlineStr" s="17">
        <is>
          <t xml:space="preserve">Career-center included briefs · Full-allowance briefs · Briefcase Conservative — doubled Crustdata · Briefcase Conservative — doubled Crustdata</t>
        </is>
      </c>
      <c r="Z262" s="13">
        <f>'Model inputs'!Z261</f>
        <v>20</v>
      </c>
    </row>
    <row r="263">
      <c r="A263" t="inlineStr" s="17">
        <is>
          <t xml:space="preserve">Career-center included briefs · Full-allowance briefs · Briefcase Growth · Briefcase Growth</t>
        </is>
      </c>
      <c r="Z263" s="13">
        <f>'Model inputs'!Z261</f>
        <v>20</v>
      </c>
    </row>
    <row r="264">
      <c r="A264" t="inlineStr" s="17">
        <is>
          <t xml:space="preserve">Career-center included briefs · Full-allowance briefs · Briefcase Conservative — 5% conversion — doubled Crustdata · Briefcase Conservative — 5% conversion — doubled Crustdata</t>
        </is>
      </c>
      <c r="Z264" s="13">
        <f>'Model inputs'!Z261</f>
        <v>20</v>
      </c>
    </row>
    <row r="265">
      <c r="A265" t="inlineStr" s="17">
        <is>
          <t xml:space="preserve">Career-center included briefs · Full-allowance briefs · Briefcase Growth — 5% conversion · Briefcase Growth — 5% conversion</t>
        </is>
      </c>
      <c r="Z265" s="13">
        <f>'Model inputs'!Z261</f>
        <v>20</v>
      </c>
    </row>
    <row r="266">
      <c r="A266" t="inlineStr" s="17">
        <is>
          <t xml:space="preserve">Career-center included briefs · Full-allowance briefs · Briefcase Growth — 5% conversion — doubled Crustdata · Briefcase Growth — 5% conversion — doubled Crustdata</t>
        </is>
      </c>
      <c r="Z266" s="13">
        <f>'Model inputs'!Z261</f>
        <v>20</v>
      </c>
    </row>
    <row r="267">
      <c r="A267" t="inlineStr" s="17">
        <is>
          <t xml:space="preserve">Career-center included briefs · Full-allowance briefs · Briefcase Growth — doubled Crustdata · Briefcase Growth — doubled Crustdata</t>
        </is>
      </c>
      <c r="Z267" s="13">
        <f>'Model inputs'!Z261</f>
        <v>20</v>
      </c>
    </row>
    <row r="268">
      <c r="A268" t="inlineStr" s="17">
        <is>
          <t xml:space="preserve">Career-center included briefs · Full-allowance briefs · Briefcase Conservative — 5% conversion · Briefcase Conservative — 5% conversion</t>
        </is>
      </c>
      <c r="Z268" s="13">
        <f>'Model inputs'!Z261</f>
        <v>20</v>
      </c>
    </row>
    <row r="269">
      <c r="A269" t="inlineStr" s="17">
        <is>
          <t xml:space="preserve">Career-center included briefs · Full-allowance briefs · Briefcase Conservative · Briefcase Conservative</t>
        </is>
      </c>
      <c r="Z269" s="13">
        <f>'Model inputs'!Z261</f>
        <v>20</v>
      </c>
    </row>
    <row r="270">
      <c r="A270" t="inlineStr" s="17">
        <is>
          <t xml:space="preserve">Career-center included briefs · Full-allowance briefs · Briefcase Base — 5% conversion · Briefcase Base — 5% conversion</t>
        </is>
      </c>
      <c r="Z270" s="13">
        <f>'Model inputs'!Z261</f>
        <v>20</v>
      </c>
    </row>
    <row r="271">
      <c r="A271" t="inlineStr" s="17">
        <is>
          <t xml:space="preserve">Career-center included briefs · Full-allowance briefs · Briefcase Base — 5% conversion — doubled Crustdata · Briefcase Base — 5% conversion — doubled Crustdata</t>
        </is>
      </c>
      <c r="Z271" s="13">
        <f>'Model inputs'!Z261</f>
        <v>20</v>
      </c>
    </row>
    <row r="272">
      <c r="A272" t="inlineStr" s="17">
        <is>
          <t xml:space="preserve">Career-center included briefs · Full-allowance briefs · Briefcase Base — doubled Crustdata · Briefcase Base — doubled Crustdata</t>
        </is>
      </c>
      <c r="Z272" s="13">
        <f>'Model inputs'!Z261</f>
        <v>20</v>
      </c>
    </row>
    <row r="273">
      <c r="A273" t="inlineStr" s="17">
        <is>
          <t xml:space="preserve">Career-center overage price · Overage revenue · Monthly revenue · Briefcase conversion and cost sensitivities · Briefcase Base · Briefcase Base · Briefcase Base</t>
        </is>
      </c>
      <c r="Z273" s="13">
        <f>1.5</f>
        <v>1.5</v>
      </c>
    </row>
    <row r="274">
      <c r="A274" t="inlineStr" s="17">
        <is>
          <t xml:space="preserve">Career-center overage price · Overage revenue · Briefcase Conservative — doubled Crustdata · Briefcase Conservative — doubled Crustdata</t>
        </is>
      </c>
      <c r="Z274" s="13">
        <f>'Model inputs'!Z273</f>
        <v>1.5</v>
      </c>
    </row>
    <row r="275">
      <c r="A275" t="inlineStr" s="17">
        <is>
          <t xml:space="preserve">Career-center overage price · Overage revenue · Briefcase Growth · Briefcase Growth</t>
        </is>
      </c>
      <c r="Z275" s="13">
        <f>'Model inputs'!Z273</f>
        <v>1.5</v>
      </c>
    </row>
    <row r="276">
      <c r="A276" t="inlineStr" s="17">
        <is>
          <t xml:space="preserve">Career-center overage price · Overage revenue · Briefcase Conservative — 5% conversion — doubled Crustdata · Briefcase Conservative — 5% conversion — doubled Crustdata</t>
        </is>
      </c>
      <c r="Z276" s="13">
        <f>'Model inputs'!Z273</f>
        <v>1.5</v>
      </c>
    </row>
    <row r="277">
      <c r="A277" t="inlineStr" s="17">
        <is>
          <t xml:space="preserve">Career-center overage price · Overage revenue · Briefcase Growth — 5% conversion · Briefcase Growth — 5% conversion</t>
        </is>
      </c>
      <c r="Z277" s="13">
        <f>'Model inputs'!Z273</f>
        <v>1.5</v>
      </c>
    </row>
    <row r="278">
      <c r="A278" t="inlineStr" s="17">
        <is>
          <t xml:space="preserve">Career-center overage price · Overage revenue · Briefcase Growth — 5% conversion — doubled Crustdata · Briefcase Growth — 5% conversion — doubled Crustdata</t>
        </is>
      </c>
      <c r="Z278" s="13">
        <f>'Model inputs'!Z273</f>
        <v>1.5</v>
      </c>
    </row>
    <row r="279">
      <c r="A279" t="inlineStr" s="17">
        <is>
          <t xml:space="preserve">Career-center overage price · Overage revenue · Briefcase Growth — doubled Crustdata · Briefcase Growth — doubled Crustdata</t>
        </is>
      </c>
      <c r="Z279" s="13">
        <f>'Model inputs'!Z273</f>
        <v>1.5</v>
      </c>
    </row>
    <row r="280">
      <c r="A280" t="inlineStr" s="17">
        <is>
          <t xml:space="preserve">Career-center overage price · Overage revenue · Briefcase Conservative — 5% conversion · Briefcase Conservative — 5% conversion</t>
        </is>
      </c>
      <c r="Z280" s="13">
        <f>'Model inputs'!Z273</f>
        <v>1.5</v>
      </c>
    </row>
    <row r="281">
      <c r="A281" t="inlineStr" s="17">
        <is>
          <t xml:space="preserve">Career-center overage price · Overage revenue · Briefcase Conservative · Briefcase Conservative</t>
        </is>
      </c>
      <c r="Z281" s="13">
        <f>'Model inputs'!Z273</f>
        <v>1.5</v>
      </c>
    </row>
    <row r="282">
      <c r="A282" t="inlineStr" s="17">
        <is>
          <t xml:space="preserve">Career-center overage price · Overage revenue · Briefcase Base — 5% conversion · Briefcase Base — 5% conversion</t>
        </is>
      </c>
      <c r="Z282" s="13">
        <f>'Model inputs'!Z273</f>
        <v>1.5</v>
      </c>
    </row>
    <row r="283">
      <c r="A283" t="inlineStr" s="17">
        <is>
          <t xml:space="preserve">Career-center overage price · Overage revenue · Briefcase Base — 5% conversion — doubled Crustdata · Briefcase Base — 5% conversion — doubled Crustdata</t>
        </is>
      </c>
      <c r="Z283" s="13">
        <f>'Model inputs'!Z273</f>
        <v>1.5</v>
      </c>
    </row>
    <row r="284">
      <c r="A284" t="inlineStr" s="17">
        <is>
          <t xml:space="preserve">Career-center overage price · Overage revenue · Briefcase Base — doubled Crustdata · Briefcase Base — doubled Crustdata</t>
        </is>
      </c>
      <c r="Z284" s="13">
        <f>'Model inputs'!Z273</f>
        <v>1.5</v>
      </c>
    </row>
    <row r="285">
      <c r="A285" t="inlineStr" s="17">
        <is>
          <t xml:space="preserve">Career-center seats · Monthly career-center seats · Career-center MRR · Briefcase Base · Briefcase Base · Briefcase Base</t>
        </is>
      </c>
      <c r="Z285" s="13">
        <f>100</f>
        <v>100</v>
      </c>
    </row>
    <row r="286">
      <c r="A286" t="inlineStr" s="17">
        <is>
          <t xml:space="preserve">Career-center seats · Monthly career-center seats · Briefcase Conservative — doubled Crustdata · Briefcase Conservative — doubled Crustdata</t>
        </is>
      </c>
      <c r="Z286" s="13">
        <f>0</f>
        <v>0</v>
      </c>
    </row>
    <row r="287">
      <c r="A287" t="inlineStr" s="17">
        <is>
          <t xml:space="preserve">Career-center seats · Monthly career-center seats · Briefcase Growth · Briefcase Growth</t>
        </is>
      </c>
      <c r="Z287" s="13">
        <f>400</f>
        <v>400</v>
      </c>
    </row>
    <row r="288">
      <c r="A288" t="inlineStr" s="17">
        <is>
          <t xml:space="preserve">Career-center seats · Monthly career-center seats · Briefcase Conservative — 5% conversion — doubled Crustdata · Briefcase Conservative — 5% conversion — doubled Crustdata</t>
        </is>
      </c>
      <c r="Z288" s="13">
        <f>0</f>
        <v>0</v>
      </c>
    </row>
    <row r="289">
      <c r="A289" t="inlineStr" s="17">
        <is>
          <t xml:space="preserve">Career-center seats · Monthly career-center seats · Briefcase Growth — 5% conversion · Briefcase Growth — 5% conversion</t>
        </is>
      </c>
      <c r="Z289" s="13">
        <f>400</f>
        <v>400</v>
      </c>
    </row>
    <row r="290">
      <c r="A290" t="inlineStr" s="17">
        <is>
          <t xml:space="preserve">Career-center seats · Monthly career-center seats · Briefcase Growth — 5% conversion — doubled Crustdata · Briefcase Growth — 5% conversion — doubled Crustdata</t>
        </is>
      </c>
      <c r="Z290" s="13">
        <f>400</f>
        <v>400</v>
      </c>
    </row>
    <row r="291">
      <c r="A291" t="inlineStr" s="17">
        <is>
          <t xml:space="preserve">Career-center seats · Monthly career-center seats · Briefcase Growth — doubled Crustdata · Briefcase Growth — doubled Crustdata</t>
        </is>
      </c>
      <c r="Z291" s="13">
        <f>400</f>
        <v>400</v>
      </c>
    </row>
    <row r="292">
      <c r="A292" t="inlineStr" s="17">
        <is>
          <t xml:space="preserve">Career-center seats · Monthly career-center seats · Briefcase Conservative — 5% conversion · Briefcase Conservative — 5% conversion</t>
        </is>
      </c>
      <c r="Z292" s="13">
        <f>0</f>
        <v>0</v>
      </c>
    </row>
    <row r="293">
      <c r="A293" t="inlineStr" s="17">
        <is>
          <t xml:space="preserve">Career-center seats · Monthly career-center seats · Briefcase Conservative · Briefcase Conservative</t>
        </is>
      </c>
      <c r="Z293" s="13">
        <f>0</f>
        <v>0</v>
      </c>
    </row>
    <row r="294">
      <c r="A294" t="inlineStr" s="17">
        <is>
          <t xml:space="preserve">Career-center seats · Monthly career-center seats · Briefcase Base — 5% conversion · Briefcase Base — 5% conversion</t>
        </is>
      </c>
      <c r="Z294" s="13">
        <f>'Model inputs'!Z285</f>
        <v>100</v>
      </c>
    </row>
    <row r="295">
      <c r="A295" t="inlineStr" s="17">
        <is>
          <t xml:space="preserve">Career-center seats · Monthly career-center seats · Briefcase Base — 5% conversion — doubled Crustdata · Briefcase Base — 5% conversion — doubled Crustdata</t>
        </is>
      </c>
      <c r="Z295" s="13">
        <f>'Model inputs'!Z285</f>
        <v>100</v>
      </c>
    </row>
    <row r="296">
      <c r="A296" t="inlineStr" s="17">
        <is>
          <t xml:space="preserve">Career-center seats · Monthly career-center seats · Briefcase Base — doubled Crustdata · Briefcase Base — doubled Crustdata</t>
        </is>
      </c>
      <c r="Z296" s="13">
        <f>'Model inputs'!Z285</f>
        <v>100</v>
      </c>
    </row>
    <row r="297">
      <c r="A297" t="inlineStr" s="17">
        <is>
          <t xml:space="preserve">Free weekly allowance · Full-allowance briefs · Full-allowance COGS · Briefcase conversion and cost sensitivities · Briefcase Base · Briefcase Base · Briefcase Base</t>
        </is>
      </c>
      <c r="Z297" s="13">
        <f>3</f>
        <v>3</v>
      </c>
    </row>
    <row r="298">
      <c r="A298" t="inlineStr" s="17">
        <is>
          <t xml:space="preserve">Free weekly allowance · Full-allowance briefs · Briefcase Conservative — doubled Crustdata · Briefcase Conservative — doubled Crustdata</t>
        </is>
      </c>
      <c r="Z298" s="13">
        <f>'Model inputs'!Z297</f>
        <v>3</v>
      </c>
    </row>
    <row r="299">
      <c r="A299" t="inlineStr" s="17">
        <is>
          <t xml:space="preserve">Free weekly allowance · Full-allowance briefs · Briefcase Growth · Briefcase Growth</t>
        </is>
      </c>
      <c r="Z299" s="13">
        <f>'Model inputs'!Z297</f>
        <v>3</v>
      </c>
    </row>
    <row r="300">
      <c r="A300" t="inlineStr" s="17">
        <is>
          <t xml:space="preserve">Free weekly allowance · Full-allowance briefs · Briefcase Conservative — 5% conversion — doubled Crustdata · Briefcase Conservative — 5% conversion — doubled Crustdata</t>
        </is>
      </c>
      <c r="Z300" s="13">
        <f>'Model inputs'!Z297</f>
        <v>3</v>
      </c>
    </row>
    <row r="301">
      <c r="A301" t="inlineStr" s="17">
        <is>
          <t xml:space="preserve">Free weekly allowance · Full-allowance briefs · Briefcase Growth — 5% conversion · Briefcase Growth — 5% conversion</t>
        </is>
      </c>
      <c r="Z301" s="13">
        <f>'Model inputs'!Z297</f>
        <v>3</v>
      </c>
    </row>
    <row r="302">
      <c r="A302" t="inlineStr" s="17">
        <is>
          <t xml:space="preserve">Free weekly allowance · Full-allowance briefs · Briefcase Growth — 5% conversion — doubled Crustdata · Briefcase Growth — 5% conversion — doubled Crustdata</t>
        </is>
      </c>
      <c r="Z302" s="13">
        <f>'Model inputs'!Z297</f>
        <v>3</v>
      </c>
    </row>
    <row r="303">
      <c r="A303" t="inlineStr" s="17">
        <is>
          <t xml:space="preserve">Free weekly allowance · Full-allowance briefs · Briefcase Growth — doubled Crustdata · Briefcase Growth — doubled Crustdata</t>
        </is>
      </c>
      <c r="Z303" s="13">
        <f>'Model inputs'!Z297</f>
        <v>3</v>
      </c>
    </row>
    <row r="304">
      <c r="A304" t="inlineStr" s="17">
        <is>
          <t xml:space="preserve">Free weekly allowance · Full-allowance briefs · Briefcase Conservative — 5% conversion · Briefcase Conservative — 5% conversion</t>
        </is>
      </c>
      <c r="Z304" s="13">
        <f>'Model inputs'!Z297</f>
        <v>3</v>
      </c>
    </row>
    <row r="305">
      <c r="A305" t="inlineStr" s="17">
        <is>
          <t xml:space="preserve">Free weekly allowance · Full-allowance briefs · Briefcase Conservative · Briefcase Conservative</t>
        </is>
      </c>
      <c r="Z305" s="13">
        <f>'Model inputs'!Z297</f>
        <v>3</v>
      </c>
    </row>
    <row r="306">
      <c r="A306" t="inlineStr" s="17">
        <is>
          <t xml:space="preserve">Free weekly allowance · Full-allowance briefs · Briefcase Base — 5% conversion · Briefcase Base — 5% conversion</t>
        </is>
      </c>
      <c r="Z306" s="13">
        <f>'Model inputs'!Z297</f>
        <v>3</v>
      </c>
    </row>
    <row r="307">
      <c r="A307" t="inlineStr" s="17">
        <is>
          <t xml:space="preserve">Free weekly allowance · Full-allowance briefs · Briefcase Base — 5% conversion — doubled Crustdata · Briefcase Base — 5% conversion — doubled Crustdata</t>
        </is>
      </c>
      <c r="Z307" s="13">
        <f>'Model inputs'!Z297</f>
        <v>3</v>
      </c>
    </row>
    <row r="308">
      <c r="A308" t="inlineStr" s="17">
        <is>
          <t xml:space="preserve">Free weekly allowance · Full-allowance briefs · Briefcase Base — doubled Crustdata · Briefcase Base — doubled Crustdata</t>
        </is>
      </c>
      <c r="Z308" s="13">
        <f>'Model inputs'!Z297</f>
        <v>3</v>
      </c>
    </row>
    <row r="309">
      <c r="A309" t="inlineStr" s="17">
        <is>
          <t xml:space="preserve">Full-allowance briefs · Full-allowance COGS · Briefcase cash and runway</t>
        </is>
      </c>
      <c r="B309" s="13">
        <f>IF('Model inputs'!B194="","",'Model inputs'!B194)</f>
        <v>0</v>
      </c>
      <c r="C309" s="13">
        <f>IF('Model inputs'!C194="","",'Model inputs'!C194)</f>
        <v>22400</v>
      </c>
      <c r="D309" s="13">
        <f>IF('Model inputs'!D194="","",'Model inputs'!D194)</f>
        <v>0</v>
      </c>
      <c r="E309" s="13">
        <f>IF('Model inputs'!E194="","",'Model inputs'!E194)</f>
        <v>0</v>
      </c>
      <c r="F309" s="13">
        <f>IF('Model inputs'!F194="","",'Model inputs'!F194)</f>
        <v>0</v>
      </c>
      <c r="G309" s="13">
        <f>IF('Model inputs'!G194="","",'Model inputs'!G194)</f>
        <v>0</v>
      </c>
      <c r="H309" s="13">
        <f>IF('Model inputs'!H194="","",'Model inputs'!H194)</f>
        <v>0</v>
      </c>
      <c r="I309" s="13">
        <f>IF('Model inputs'!I194="","",'Model inputs'!I194)</f>
        <v>0</v>
      </c>
      <c r="J309" s="13">
        <f>IF('Model inputs'!J194="","",'Model inputs'!J194)</f>
        <v>0</v>
      </c>
      <c r="K309" s="13">
        <f>IF('Model inputs'!K194="","",'Model inputs'!K194)</f>
        <v>0</v>
      </c>
      <c r="L309" s="13">
        <f>'Model inputs'!L353*'Model inputs'!Z297*52/12+'Model inputs'!L355*'Model inputs'!Z337+'Model inputs'!L352*'Model inputs'!Z261+'Model inputs'!Z323</f>
        <v>22400</v>
      </c>
      <c r="M309" s="13">
        <f>'Model inputs'!M353*'Model inputs'!Z297*52/12+'Model inputs'!M355*'Model inputs'!Z337+'Model inputs'!M352*'Model inputs'!Z261+'Model inputs'!Z323</f>
        <v>22400</v>
      </c>
      <c r="N309" s="13">
        <f>'Model inputs'!N353*'Model inputs'!Z297*52/12+'Model inputs'!N355*'Model inputs'!Z337+'Model inputs'!N352*'Model inputs'!Z261+'Model inputs'!Z323</f>
        <v>22400</v>
      </c>
      <c r="O309" s="13">
        <f>'Model inputs'!O353*'Model inputs'!Z297*52/12+'Model inputs'!O355*'Model inputs'!Z337+'Model inputs'!O352*'Model inputs'!Z261+'Model inputs'!Z323</f>
        <v>22400</v>
      </c>
      <c r="P309" s="13">
        <f>'Model inputs'!P353*'Model inputs'!Z297*52/12+'Model inputs'!P355*'Model inputs'!Z337+'Model inputs'!P352*'Model inputs'!Z261+'Model inputs'!Z323</f>
        <v>22400</v>
      </c>
      <c r="Q309" s="13">
        <f>'Model inputs'!Q353*'Model inputs'!Z297*52/12+'Model inputs'!Q355*'Model inputs'!Z337+'Model inputs'!Q352*'Model inputs'!Z261+'Model inputs'!Z323</f>
        <v>22400</v>
      </c>
      <c r="R309" s="13">
        <f>'Model inputs'!R353*'Model inputs'!Z297*52/12+'Model inputs'!R355*'Model inputs'!Z337+'Model inputs'!R352*'Model inputs'!Z261+'Model inputs'!Z323</f>
        <v>22400</v>
      </c>
      <c r="S309" s="13">
        <f>'Model inputs'!S353*'Model inputs'!Z297*52/12+'Model inputs'!S355*'Model inputs'!Z337+'Model inputs'!S352*'Model inputs'!Z261+'Model inputs'!Z323</f>
        <v>22400</v>
      </c>
      <c r="T309" s="13">
        <f>'Model inputs'!T353*'Model inputs'!Z297*52/12+'Model inputs'!T355*'Model inputs'!Z337+'Model inputs'!T352*'Model inputs'!Z261+'Model inputs'!Z323</f>
        <v>22400</v>
      </c>
      <c r="U309" s="13">
        <f>'Model inputs'!U353*'Model inputs'!Z297*52/12+'Model inputs'!U355*'Model inputs'!Z337+'Model inputs'!U352*'Model inputs'!Z261+'Model inputs'!Z323</f>
        <v>22400</v>
      </c>
      <c r="V309" s="13">
        <f>'Model inputs'!V353*'Model inputs'!Z297*52/12+'Model inputs'!V355*'Model inputs'!Z337+'Model inputs'!V352*'Model inputs'!Z261+'Model inputs'!Z323</f>
        <v>22400</v>
      </c>
      <c r="W309" s="13">
        <f>'Model inputs'!W353*'Model inputs'!Z297*52/12+'Model inputs'!W355*'Model inputs'!Z337+'Model inputs'!W352*'Model inputs'!Z261+'Model inputs'!Z323</f>
        <v>22400</v>
      </c>
      <c r="X309" s="13">
        <f>'Model inputs'!X353*'Model inputs'!Z297*52/12+'Model inputs'!X355*'Model inputs'!Z337+'Model inputs'!X352*'Model inputs'!Z261+'Model inputs'!Z323</f>
        <v>22400</v>
      </c>
      <c r="Y309" s="13">
        <f>'Model inputs'!Y353*'Model inputs'!Z297*52/12+'Model inputs'!Y355*'Model inputs'!Z337+'Model inputs'!Y352*'Model inputs'!Z261+'Model inputs'!Z323</f>
        <v>22400</v>
      </c>
    </row>
    <row r="310">
      <c r="A310" t="inlineStr" s="17">
        <is>
          <t xml:space="preserve">Monthly COGS · Briefcase cash chart series</t>
        </is>
      </c>
      <c r="B310" s="9">
        <v>0</v>
      </c>
      <c r="C310" s="9">
        <f>IF('Model inputs'!C125="","",'Model inputs'!C125)</f>
        <v>1099.9999999999998</v>
      </c>
      <c r="D310" s="9">
        <v>0</v>
      </c>
      <c r="E310" s="9">
        <v>0</v>
      </c>
      <c r="F310" s="9">
        <v>0</v>
      </c>
      <c r="G310" s="9">
        <v>0</v>
      </c>
      <c r="H310" s="9">
        <v>0</v>
      </c>
      <c r="I310" s="9">
        <v>0</v>
      </c>
      <c r="J310" s="9">
        <v>0</v>
      </c>
      <c r="K310" s="9">
        <v>0</v>
      </c>
      <c r="L310" s="9">
        <f>'Model inputs'!L351*'Model inputs'!Z59</f>
        <v>1099.9999999999998</v>
      </c>
      <c r="M310" s="9">
        <f>'Model inputs'!M351*'Model inputs'!Z59</f>
        <v>1099.9999999999998</v>
      </c>
      <c r="N310" s="9">
        <f>'Model inputs'!N351*'Model inputs'!Z59</f>
        <v>1099.9999999999998</v>
      </c>
      <c r="O310" s="9">
        <f>'Model inputs'!O351*'Model inputs'!Z59</f>
        <v>1099.9999999999998</v>
      </c>
      <c r="P310" s="9">
        <f>'Model inputs'!P351*'Model inputs'!Z59</f>
        <v>1099.9999999999998</v>
      </c>
      <c r="Q310" s="9">
        <f>'Model inputs'!Q351*'Model inputs'!Z59</f>
        <v>1099.9999999999998</v>
      </c>
      <c r="R310" s="9">
        <f>'Model inputs'!R351*'Model inputs'!Z59</f>
        <v>1099.9999999999998</v>
      </c>
      <c r="S310" s="9">
        <f>'Model inputs'!S351*'Model inputs'!Z59</f>
        <v>1099.9999999999998</v>
      </c>
      <c r="T310" s="9">
        <f>'Model inputs'!T351*'Model inputs'!Z59</f>
        <v>1099.9999999999998</v>
      </c>
      <c r="U310" s="9">
        <f>'Model inputs'!U351*'Model inputs'!Z59</f>
        <v>1099.9999999999998</v>
      </c>
      <c r="V310" s="9">
        <f>'Model inputs'!V351*'Model inputs'!Z59</f>
        <v>1099.9999999999998</v>
      </c>
      <c r="W310" s="9">
        <f>'Model inputs'!W351*'Model inputs'!Z59</f>
        <v>1099.9999999999998</v>
      </c>
      <c r="X310" s="9">
        <f>'Model inputs'!X351*'Model inputs'!Z59</f>
        <v>1099.9999999999998</v>
      </c>
      <c r="Y310" s="9">
        <f>'Model inputs'!Y351*'Model inputs'!Z59</f>
        <v>1099.9999999999998</v>
      </c>
    </row>
    <row r="311">
      <c r="A311" t="inlineStr" s="17">
        <is>
          <t xml:space="preserve">Monthly free users · Full-allowance briefs · Full-allowance COGS · Briefcase conversion and cost sensitivities · Briefcase Base · Briefcase Base · Briefcase Base</t>
        </is>
      </c>
      <c r="B311" s="13">
        <v>0</v>
      </c>
      <c r="C311" s="13">
        <f>IF('Model inputs'!Z22="","",'Model inputs'!Z22)</f>
        <v>1200</v>
      </c>
      <c r="D311" s="13">
        <v>0</v>
      </c>
      <c r="E311" s="13">
        <v>0</v>
      </c>
      <c r="F311" s="13">
        <v>0</v>
      </c>
      <c r="G311" s="13">
        <v>0</v>
      </c>
      <c r="H311" s="13">
        <v>0</v>
      </c>
      <c r="I311" s="13">
        <v>0</v>
      </c>
      <c r="J311" s="13">
        <v>0</v>
      </c>
      <c r="K311" s="13">
        <v>0</v>
      </c>
    </row>
    <row r="312">
      <c r="A312" t="inlineStr" s="17">
        <is>
          <t xml:space="preserve">Monthly free users · Briefcase Conservative — doubled Crustdata</t>
        </is>
      </c>
      <c r="C312" s="13">
        <f>IF('Model inputs'!Z23="","",'Model inputs'!Z23)</f>
        <v>400</v>
      </c>
    </row>
    <row r="313">
      <c r="A313" t="inlineStr" s="17">
        <is>
          <t xml:space="preserve">Monthly free users · Briefcase Growth</t>
        </is>
      </c>
      <c r="C313" s="13">
        <f>IF('Model inputs'!Z24="","",'Model inputs'!Z24)</f>
        <v>4000</v>
      </c>
    </row>
    <row r="314">
      <c r="A314" t="inlineStr" s="17">
        <is>
          <t xml:space="preserve">Monthly free users · Briefcase Conservative — 5% conversion — doubled Crustdata</t>
        </is>
      </c>
      <c r="C314" s="13">
        <f>IF('Model inputs'!Z25="","",'Model inputs'!Z25)</f>
        <v>400</v>
      </c>
    </row>
    <row r="315">
      <c r="A315" t="inlineStr" s="17">
        <is>
          <t xml:space="preserve">Monthly free users · Briefcase Growth — 5% conversion</t>
        </is>
      </c>
      <c r="C315" s="13">
        <f>IF('Model inputs'!Z26="","",'Model inputs'!Z26)</f>
        <v>4000</v>
      </c>
    </row>
    <row r="316">
      <c r="A316" t="inlineStr" s="17">
        <is>
          <t xml:space="preserve">Monthly free users · Briefcase Growth — 5% conversion — doubled Crustdata</t>
        </is>
      </c>
      <c r="C316" s="13">
        <f>IF('Model inputs'!Z27="","",'Model inputs'!Z27)</f>
        <v>4000</v>
      </c>
    </row>
    <row r="317">
      <c r="A317" t="inlineStr" s="17">
        <is>
          <t xml:space="preserve">Monthly free users · Briefcase Growth — doubled Crustdata</t>
        </is>
      </c>
      <c r="C317" s="13">
        <f>IF('Model inputs'!Z28="","",'Model inputs'!Z28)</f>
        <v>4000</v>
      </c>
    </row>
    <row r="318">
      <c r="A318" t="inlineStr" s="17">
        <is>
          <t xml:space="preserve">Monthly free users · Briefcase Conservative — 5% conversion</t>
        </is>
      </c>
      <c r="C318" s="13">
        <f>IF('Model inputs'!Z29="","",'Model inputs'!Z29)</f>
        <v>400</v>
      </c>
    </row>
    <row r="319">
      <c r="A319" t="inlineStr" s="17">
        <is>
          <t xml:space="preserve">Monthly free users · Briefcase Conservative</t>
        </is>
      </c>
      <c r="C319" s="13">
        <f>IF('Model inputs'!Z30="","",'Model inputs'!Z30)</f>
        <v>400</v>
      </c>
    </row>
    <row r="320">
      <c r="A320" t="inlineStr" s="17">
        <is>
          <t xml:space="preserve">Monthly free users · Briefcase Base — 5% conversion</t>
        </is>
      </c>
      <c r="C320" s="13">
        <f>IF('Model inputs'!Z31="","",'Model inputs'!Z31)</f>
        <v>1200</v>
      </c>
    </row>
    <row r="321">
      <c r="A321" t="inlineStr" s="17">
        <is>
          <t xml:space="preserve">Monthly free users · Briefcase Base — 5% conversion — doubled Crustdata</t>
        </is>
      </c>
      <c r="C321" s="13">
        <f>IF('Model inputs'!Z32="","",'Model inputs'!Z32)</f>
        <v>1200</v>
      </c>
    </row>
    <row r="322">
      <c r="A322" t="inlineStr" s="17">
        <is>
          <t xml:space="preserve">Monthly free users · Briefcase Base — doubled Crustdata</t>
        </is>
      </c>
      <c r="C322" s="13">
        <f>IF('Model inputs'!Z33="","",'Model inputs'!Z33)</f>
        <v>1200</v>
      </c>
    </row>
    <row r="323">
      <c r="A323" t="inlineStr" s="17">
        <is>
          <t xml:space="preserve">Monthly overage briefs · Full-allowance briefs · Full-allowance COGS · Briefcase conversion and cost sensitivities · Briefcase Base · Briefcase Base · Briefcase Base</t>
        </is>
      </c>
      <c r="Z323" s="13">
        <f>0</f>
        <v>0</v>
      </c>
    </row>
    <row r="324">
      <c r="A324" t="inlineStr" s="17">
        <is>
          <t xml:space="preserve">Monthly overage briefs · Full-allowance briefs · Briefcase Conservative — doubled Crustdata · Briefcase Conservative — doubled Crustdata</t>
        </is>
      </c>
      <c r="Z324" s="13">
        <f>'Model inputs'!Z323</f>
        <v>0</v>
      </c>
    </row>
    <row r="325">
      <c r="A325" t="inlineStr" s="17">
        <is>
          <t xml:space="preserve">Monthly overage briefs · Full-allowance briefs · Briefcase Growth · Briefcase Growth</t>
        </is>
      </c>
      <c r="Z325" s="13">
        <f>'Model inputs'!Z323</f>
        <v>0</v>
      </c>
    </row>
    <row r="326">
      <c r="A326" t="inlineStr" s="17">
        <is>
          <t xml:space="preserve">Monthly overage briefs · Full-allowance briefs · Briefcase Conservative — 5% conversion — doubled Crustdata · Briefcase Conservative — 5% conversion — doubled Crustdata</t>
        </is>
      </c>
      <c r="Z326" s="13">
        <f>'Model inputs'!Z323</f>
        <v>0</v>
      </c>
    </row>
    <row r="327">
      <c r="A327" t="inlineStr" s="17">
        <is>
          <t xml:space="preserve">Monthly overage briefs · Full-allowance briefs · Briefcase Growth — 5% conversion · Briefcase Growth — 5% conversion</t>
        </is>
      </c>
      <c r="Z327" s="13">
        <f>'Model inputs'!Z323</f>
        <v>0</v>
      </c>
    </row>
    <row r="328">
      <c r="A328" t="inlineStr" s="17">
        <is>
          <t xml:space="preserve">Monthly overage briefs · Full-allowance briefs · Briefcase Growth — 5% conversion — doubled Crustdata · Briefcase Growth — 5% conversion — doubled Crustdata</t>
        </is>
      </c>
      <c r="Z328" s="13">
        <f>'Model inputs'!Z323</f>
        <v>0</v>
      </c>
    </row>
    <row r="329">
      <c r="A329" t="inlineStr" s="17">
        <is>
          <t xml:space="preserve">Monthly overage briefs · Full-allowance briefs · Briefcase Growth — doubled Crustdata · Briefcase Growth — doubled Crustdata</t>
        </is>
      </c>
      <c r="Z329" s="13">
        <f>'Model inputs'!Z323</f>
        <v>0</v>
      </c>
    </row>
    <row r="330">
      <c r="A330" t="inlineStr" s="17">
        <is>
          <t xml:space="preserve">Monthly overage briefs · Full-allowance briefs · Briefcase Conservative — 5% conversion · Briefcase Conservative — 5% conversion</t>
        </is>
      </c>
      <c r="Z330" s="13">
        <f>'Model inputs'!Z323</f>
        <v>0</v>
      </c>
    </row>
    <row r="331">
      <c r="A331" t="inlineStr" s="17">
        <is>
          <t xml:space="preserve">Monthly overage briefs · Full-allowance briefs · Briefcase Conservative · Briefcase Conservative</t>
        </is>
      </c>
      <c r="Z331" s="13">
        <f>'Model inputs'!Z323</f>
        <v>0</v>
      </c>
    </row>
    <row r="332">
      <c r="A332" t="inlineStr" s="17">
        <is>
          <t xml:space="preserve">Monthly overage briefs · Full-allowance briefs · Briefcase Base — 5% conversion · Briefcase Base — 5% conversion</t>
        </is>
      </c>
      <c r="Z332" s="13">
        <f>'Model inputs'!Z323</f>
        <v>0</v>
      </c>
    </row>
    <row r="333">
      <c r="A333" t="inlineStr" s="17">
        <is>
          <t xml:space="preserve">Monthly overage briefs · Full-allowance briefs · Briefcase Base — 5% conversion — doubled Crustdata · Briefcase Base — 5% conversion — doubled Crustdata</t>
        </is>
      </c>
      <c r="Z333" s="13">
        <f>'Model inputs'!Z323</f>
        <v>0</v>
      </c>
    </row>
    <row r="334">
      <c r="A334" t="inlineStr" s="17">
        <is>
          <t xml:space="preserve">Monthly overage briefs · Full-allowance briefs · Briefcase Base — doubled Crustdata · Briefcase Base — doubled Crustdata</t>
        </is>
      </c>
      <c r="Z334" s="13">
        <f>'Model inputs'!Z323</f>
        <v>0</v>
      </c>
    </row>
    <row r="335">
      <c r="A335" t="inlineStr" s="17">
        <is>
          <t xml:space="preserve">MRR · Briefcase cash chart series</t>
        </is>
      </c>
      <c r="B335" s="9">
        <f>IF('Model inputs'!B259="","",'Model inputs'!B259)</f>
        <v>0</v>
      </c>
      <c r="C335" s="9">
        <f>IF('Model inputs'!C259="","",'Model inputs'!C259)</f>
        <v>3080</v>
      </c>
      <c r="D335" s="9">
        <v>0</v>
      </c>
      <c r="E335" s="9">
        <v>0</v>
      </c>
      <c r="F335" s="9">
        <v>0</v>
      </c>
      <c r="G335" s="9">
        <v>0</v>
      </c>
      <c r="H335" s="9">
        <v>0</v>
      </c>
      <c r="I335" s="9">
        <v>0</v>
      </c>
      <c r="J335" s="9">
        <v>0</v>
      </c>
      <c r="K335" s="9">
        <v>0</v>
      </c>
      <c r="L335" s="9">
        <f>'Model inputs'!L354+'Model inputs'!L350</f>
        <v>3080</v>
      </c>
      <c r="M335" s="9">
        <f>'Model inputs'!M354+'Model inputs'!M350</f>
        <v>3080</v>
      </c>
      <c r="N335" s="9">
        <f>'Model inputs'!N354+'Model inputs'!N350</f>
        <v>3080</v>
      </c>
      <c r="O335" s="9">
        <f>'Model inputs'!O354+'Model inputs'!O350</f>
        <v>3080</v>
      </c>
      <c r="P335" s="9">
        <f>'Model inputs'!P354+'Model inputs'!P350</f>
        <v>3080</v>
      </c>
      <c r="Q335" s="9">
        <f>'Model inputs'!Q354+'Model inputs'!Q350</f>
        <v>3080</v>
      </c>
      <c r="R335" s="9">
        <f>'Model inputs'!R354+'Model inputs'!R350</f>
        <v>3080</v>
      </c>
      <c r="S335" s="9">
        <f>'Model inputs'!S354+'Model inputs'!S350</f>
        <v>3080</v>
      </c>
      <c r="T335" s="9">
        <f>'Model inputs'!T354+'Model inputs'!T350</f>
        <v>3080</v>
      </c>
      <c r="U335" s="9">
        <f>'Model inputs'!U354+'Model inputs'!U350</f>
        <v>3080</v>
      </c>
      <c r="V335" s="9">
        <f>'Model inputs'!V354+'Model inputs'!V350</f>
        <v>3080</v>
      </c>
      <c r="W335" s="9">
        <f>'Model inputs'!W354+'Model inputs'!W350</f>
        <v>3080</v>
      </c>
      <c r="X335" s="9">
        <f>'Model inputs'!X354+'Model inputs'!X350</f>
        <v>3080</v>
      </c>
      <c r="Y335" s="9">
        <f>'Model inputs'!Y354+'Model inputs'!Y350</f>
        <v>3080</v>
      </c>
    </row>
    <row r="336">
      <c r="A336" t="inlineStr" s="17">
        <is>
          <t xml:space="preserve">Overage revenue · Briefcase cash chart series</t>
        </is>
      </c>
      <c r="B336" s="13">
        <f>IF('Model inputs'!B222="","",'Model inputs'!B222)</f>
        <v>0</v>
      </c>
      <c r="C336" s="13">
        <f>IF('Model inputs'!C222="","",'Model inputs'!C222)</f>
        <v>0</v>
      </c>
      <c r="D336" s="13">
        <f>IF('Model inputs'!D222="","",'Model inputs'!D222)</f>
        <v>0</v>
      </c>
      <c r="E336" s="13">
        <f>IF('Model inputs'!E222="","",'Model inputs'!E222)</f>
        <v>0</v>
      </c>
      <c r="F336" s="13">
        <f>IF('Model inputs'!F222="","",'Model inputs'!F222)</f>
        <v>0</v>
      </c>
      <c r="G336" s="13">
        <f>IF('Model inputs'!G222="","",'Model inputs'!G222)</f>
        <v>0</v>
      </c>
      <c r="H336" s="13">
        <f>IF('Model inputs'!H222="","",'Model inputs'!H222)</f>
        <v>0</v>
      </c>
      <c r="I336" s="13">
        <f>IF('Model inputs'!I222="","",'Model inputs'!I222)</f>
        <v>0</v>
      </c>
      <c r="J336" s="13">
        <f>IF('Model inputs'!J222="","",'Model inputs'!J222)</f>
        <v>0</v>
      </c>
      <c r="K336" s="13">
        <f>IF('Model inputs'!K222="","",'Model inputs'!K222)</f>
        <v>0</v>
      </c>
      <c r="L336" s="13">
        <f>'Model inputs'!Z323*'Model inputs'!Z273</f>
        <v>0</v>
      </c>
      <c r="M336" s="13">
        <f>'Model inputs'!Z323*'Model inputs'!Z273</f>
        <v>0</v>
      </c>
      <c r="N336" s="13">
        <f>'Model inputs'!Z323*'Model inputs'!Z273</f>
        <v>0</v>
      </c>
      <c r="O336" s="13">
        <f>'Model inputs'!Z323*'Model inputs'!Z273</f>
        <v>0</v>
      </c>
      <c r="P336" s="13">
        <f>'Model inputs'!Z323*'Model inputs'!Z273</f>
        <v>0</v>
      </c>
      <c r="Q336" s="13">
        <f>'Model inputs'!Z323*'Model inputs'!Z273</f>
        <v>0</v>
      </c>
      <c r="R336" s="13">
        <f>'Model inputs'!Z323*'Model inputs'!Z273</f>
        <v>0</v>
      </c>
      <c r="S336" s="13">
        <f>'Model inputs'!Z323*'Model inputs'!Z273</f>
        <v>0</v>
      </c>
      <c r="T336" s="13">
        <f>'Model inputs'!Z323*'Model inputs'!Z273</f>
        <v>0</v>
      </c>
      <c r="U336" s="13">
        <f>'Model inputs'!Z323*'Model inputs'!Z273</f>
        <v>0</v>
      </c>
      <c r="V336" s="13">
        <f>'Model inputs'!Z323*'Model inputs'!Z273</f>
        <v>0</v>
      </c>
      <c r="W336" s="13">
        <f>'Model inputs'!Z323*'Model inputs'!Z273</f>
        <v>0</v>
      </c>
      <c r="X336" s="13">
        <f>'Model inputs'!Z323*'Model inputs'!Z273</f>
        <v>0</v>
      </c>
      <c r="Y336" s="13">
        <f>'Model inputs'!Z323*'Model inputs'!Z273</f>
        <v>0</v>
      </c>
    </row>
    <row r="337">
      <c r="A337" t="inlineStr" s="17">
        <is>
          <t xml:space="preserve">Pro included briefs · Full-allowance briefs · Full-allowance COGS · Briefcase conversion and cost sensitivities · Briefcase Base · Briefcase Base · Briefcase Base</t>
        </is>
      </c>
      <c r="Z337" s="13">
        <f>40</f>
        <v>40</v>
      </c>
    </row>
    <row r="338">
      <c r="A338" t="inlineStr" s="17">
        <is>
          <t xml:space="preserve">Pro included briefs · Full-allowance briefs · Briefcase Conservative — doubled Crustdata · Briefcase Conservative — doubled Crustdata</t>
        </is>
      </c>
      <c r="Z338" s="13">
        <f>'Model inputs'!Z337</f>
        <v>40</v>
      </c>
    </row>
    <row r="339">
      <c r="A339" t="inlineStr" s="17">
        <is>
          <t xml:space="preserve">Pro included briefs · Full-allowance briefs · Briefcase Growth · Briefcase Growth</t>
        </is>
      </c>
      <c r="Z339" s="13">
        <f>'Model inputs'!Z337</f>
        <v>40</v>
      </c>
    </row>
    <row r="340">
      <c r="A340" t="inlineStr" s="17">
        <is>
          <t xml:space="preserve">Pro included briefs · Full-allowance briefs · Briefcase Conservative — 5% conversion — doubled Crustdata · Briefcase Conservative — 5% conversion — doubled Crustdata</t>
        </is>
      </c>
      <c r="Z340" s="13">
        <f>'Model inputs'!Z337</f>
        <v>40</v>
      </c>
    </row>
    <row r="341">
      <c r="A341" t="inlineStr" s="17">
        <is>
          <t xml:space="preserve">Pro included briefs · Full-allowance briefs · Briefcase Growth — 5% conversion · Briefcase Growth — 5% conversion</t>
        </is>
      </c>
      <c r="Z341" s="13">
        <f>'Model inputs'!Z337</f>
        <v>40</v>
      </c>
    </row>
    <row r="342">
      <c r="A342" t="inlineStr" s="17">
        <is>
          <t xml:space="preserve">Pro included briefs · Full-allowance briefs · Briefcase Growth — 5% conversion — doubled Crustdata · Briefcase Growth — 5% conversion — doubled Crustdata</t>
        </is>
      </c>
      <c r="Z342" s="13">
        <f>'Model inputs'!Z337</f>
        <v>40</v>
      </c>
    </row>
    <row r="343">
      <c r="A343" t="inlineStr" s="17">
        <is>
          <t xml:space="preserve">Pro included briefs · Full-allowance briefs · Briefcase Growth — doubled Crustdata · Briefcase Growth — doubled Crustdata</t>
        </is>
      </c>
      <c r="Z343" s="13">
        <f>'Model inputs'!Z337</f>
        <v>40</v>
      </c>
    </row>
    <row r="344">
      <c r="A344" t="inlineStr" s="17">
        <is>
          <t xml:space="preserve">Pro included briefs · Full-allowance briefs · Briefcase Conservative — 5% conversion · Briefcase Conservative — 5% conversion</t>
        </is>
      </c>
      <c r="Z344" s="13">
        <f>'Model inputs'!Z337</f>
        <v>40</v>
      </c>
    </row>
    <row r="345">
      <c r="A345" t="inlineStr" s="17">
        <is>
          <t xml:space="preserve">Pro included briefs · Full-allowance briefs · Briefcase Conservative · Briefcase Conservative</t>
        </is>
      </c>
      <c r="Z345" s="13">
        <f>'Model inputs'!Z337</f>
        <v>40</v>
      </c>
    </row>
    <row r="346">
      <c r="A346" t="inlineStr" s="17">
        <is>
          <t xml:space="preserve">Pro included briefs · Full-allowance briefs · Briefcase Base — 5% conversion · Briefcase Base — 5% conversion</t>
        </is>
      </c>
      <c r="Z346" s="13">
        <f>'Model inputs'!Z337</f>
        <v>40</v>
      </c>
    </row>
    <row r="347">
      <c r="A347" t="inlineStr" s="17">
        <is>
          <t xml:space="preserve">Pro included briefs · Full-allowance briefs · Briefcase Base — 5% conversion — doubled Crustdata · Briefcase Base — 5% conversion — doubled Crustdata</t>
        </is>
      </c>
      <c r="Z347" s="13">
        <f>'Model inputs'!Z337</f>
        <v>40</v>
      </c>
    </row>
    <row r="348">
      <c r="A348" t="inlineStr" s="17">
        <is>
          <t xml:space="preserve">Pro included briefs · Full-allowance briefs · Briefcase Base — doubled Crustdata · Briefcase Base — doubled Crustdata</t>
        </is>
      </c>
      <c r="Z348" s="13">
        <f>'Model inputs'!Z337</f>
        <v>40</v>
      </c>
    </row>
    <row r="349">
      <c r="A349" t="inlineStr" s="17">
        <is>
          <t xml:space="preserve">Pro subscribers · Full-allowance briefs · Full-allowance COGS · Briefcase conversion and cost sensitivities · Briefcase Base · Briefcase Base</t>
        </is>
      </c>
      <c r="B349" s="13">
        <f>IF('Model inputs'!B260="","",'Model inputs'!B260)</f>
        <v>0</v>
      </c>
      <c r="C349" s="13">
        <f>IF('Model inputs'!C260="","",'Model inputs'!C260)</f>
        <v>120</v>
      </c>
      <c r="D349" s="13">
        <v>0</v>
      </c>
      <c r="E349" s="13">
        <v>0</v>
      </c>
      <c r="F349" s="13">
        <v>0</v>
      </c>
      <c r="G349" s="13">
        <v>0</v>
      </c>
      <c r="H349" s="13">
        <v>0</v>
      </c>
      <c r="I349" s="13">
        <v>0</v>
      </c>
      <c r="J349" s="13">
        <v>0</v>
      </c>
      <c r="K349" s="13">
        <v>0</v>
      </c>
    </row>
    <row r="350">
      <c r="A350" t="inlineStr" s="17">
        <is>
          <t xml:space="preserve">Career-center MRR · Briefcase cash chart series</t>
        </is>
      </c>
      <c r="B350" s="13">
        <f>IF('Model inputs'!B6="","",'Model inputs'!B6)</f>
        <v>0</v>
      </c>
      <c r="C350" s="13">
        <f>IF('Model inputs'!C6="","",'Model inputs'!C6)</f>
        <v>800</v>
      </c>
      <c r="D350" s="13">
        <v>0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f>'Model inputs'!L352*'Model inputs'!Z158</f>
        <v>800</v>
      </c>
      <c r="M350" s="13">
        <f>'Model inputs'!M352*'Model inputs'!Z158</f>
        <v>800</v>
      </c>
      <c r="N350" s="13">
        <f>'Model inputs'!N352*'Model inputs'!Z158</f>
        <v>800</v>
      </c>
      <c r="O350" s="13">
        <f>'Model inputs'!O352*'Model inputs'!Z158</f>
        <v>800</v>
      </c>
      <c r="P350" s="13">
        <f>'Model inputs'!P352*'Model inputs'!Z158</f>
        <v>800</v>
      </c>
      <c r="Q350" s="13">
        <f>'Model inputs'!Q352*'Model inputs'!Z158</f>
        <v>800</v>
      </c>
      <c r="R350" s="13">
        <f>'Model inputs'!R352*'Model inputs'!Z158</f>
        <v>800</v>
      </c>
      <c r="S350" s="13">
        <f>'Model inputs'!S352*'Model inputs'!Z158</f>
        <v>800</v>
      </c>
      <c r="T350" s="13">
        <f>'Model inputs'!T352*'Model inputs'!Z158</f>
        <v>800</v>
      </c>
      <c r="U350" s="13">
        <f>'Model inputs'!U352*'Model inputs'!Z158</f>
        <v>800</v>
      </c>
      <c r="V350" s="13">
        <f>'Model inputs'!V352*'Model inputs'!Z158</f>
        <v>800</v>
      </c>
      <c r="W350" s="13">
        <f>'Model inputs'!W352*'Model inputs'!Z158</f>
        <v>800</v>
      </c>
      <c r="X350" s="13">
        <f>'Model inputs'!X352*'Model inputs'!Z158</f>
        <v>800</v>
      </c>
      <c r="Y350" s="13">
        <f>'Model inputs'!Y352*'Model inputs'!Z158</f>
        <v>800</v>
      </c>
    </row>
    <row r="351">
      <c r="A351" t="inlineStr" s="17">
        <is>
          <t xml:space="preserve">Monthly briefs · Briefcase cash chart series</t>
        </is>
      </c>
      <c r="B351" s="13">
        <f>IF('Model inputs'!B71="","",'Model inputs'!B71)</f>
        <v>0</v>
      </c>
      <c r="C351" s="13">
        <f>IF('Model inputs'!C71="","",'Model inputs'!C71)</f>
        <v>5000</v>
      </c>
      <c r="D351" s="13">
        <v>0</v>
      </c>
      <c r="E351" s="13">
        <v>0</v>
      </c>
      <c r="F351" s="13">
        <v>0</v>
      </c>
      <c r="G351" s="13">
        <v>0</v>
      </c>
      <c r="H351" s="13">
        <v>0</v>
      </c>
      <c r="I351" s="13">
        <v>0</v>
      </c>
      <c r="J351" s="13">
        <v>0</v>
      </c>
      <c r="K351" s="13">
        <v>0</v>
      </c>
      <c r="L351" s="13">
        <f>IF('Model inputs'!Z246="","",'Model inputs'!Z246)</f>
        <v>5000</v>
      </c>
      <c r="M351" s="13">
        <f>IF('Model inputs'!Z246="","",'Model inputs'!Z246)</f>
        <v>5000</v>
      </c>
      <c r="N351" s="13">
        <f>IF('Model inputs'!Z246="","",'Model inputs'!Z246)</f>
        <v>5000</v>
      </c>
      <c r="O351" s="13">
        <f>IF('Model inputs'!Z246="","",'Model inputs'!Z246)</f>
        <v>5000</v>
      </c>
      <c r="P351" s="13">
        <f>IF('Model inputs'!Z246="","",'Model inputs'!Z246)</f>
        <v>5000</v>
      </c>
      <c r="Q351" s="13">
        <f>IF('Model inputs'!Z246="","",'Model inputs'!Z246)</f>
        <v>5000</v>
      </c>
      <c r="R351" s="13">
        <f>IF('Model inputs'!Z246="","",'Model inputs'!Z246)</f>
        <v>5000</v>
      </c>
      <c r="S351" s="13">
        <f>IF('Model inputs'!Z246="","",'Model inputs'!Z246)</f>
        <v>5000</v>
      </c>
      <c r="T351" s="13">
        <f>IF('Model inputs'!Z246="","",'Model inputs'!Z246)</f>
        <v>5000</v>
      </c>
      <c r="U351" s="13">
        <f>IF('Model inputs'!Z246="","",'Model inputs'!Z246)</f>
        <v>5000</v>
      </c>
      <c r="V351" s="13">
        <f>IF('Model inputs'!Z246="","",'Model inputs'!Z246)</f>
        <v>5000</v>
      </c>
      <c r="W351" s="13">
        <f>IF('Model inputs'!Z246="","",'Model inputs'!Z246)</f>
        <v>5000</v>
      </c>
      <c r="X351" s="13">
        <f>IF('Model inputs'!Z246="","",'Model inputs'!Z246)</f>
        <v>5000</v>
      </c>
      <c r="Y351" s="13">
        <f>IF('Model inputs'!Z246="","",'Model inputs'!Z246)</f>
        <v>5000</v>
      </c>
    </row>
    <row r="352">
      <c r="A352" t="inlineStr" s="17">
        <is>
          <t xml:space="preserve">Monthly career-center seats · Briefcase cash chart series</t>
        </is>
      </c>
      <c r="B352" s="13">
        <f>IF('Model inputs'!B208="","",'Model inputs'!B208)</f>
        <v>0</v>
      </c>
      <c r="C352" s="13">
        <f>IF('Model inputs'!C208="","",'Model inputs'!C208)</f>
        <v>100</v>
      </c>
      <c r="D352" s="13">
        <f>IF('Model inputs'!D208="","",'Model inputs'!D208)</f>
        <v>0</v>
      </c>
      <c r="E352" s="13">
        <f>IF('Model inputs'!E208="","",'Model inputs'!E208)</f>
        <v>0</v>
      </c>
      <c r="F352" s="13">
        <f>IF('Model inputs'!F208="","",'Model inputs'!F208)</f>
        <v>0</v>
      </c>
      <c r="G352" s="13">
        <f>IF('Model inputs'!G208="","",'Model inputs'!G208)</f>
        <v>0</v>
      </c>
      <c r="H352" s="13">
        <f>IF('Model inputs'!H208="","",'Model inputs'!H208)</f>
        <v>0</v>
      </c>
      <c r="I352" s="13">
        <f>IF('Model inputs'!I208="","",'Model inputs'!I208)</f>
        <v>0</v>
      </c>
      <c r="J352" s="13">
        <f>IF('Model inputs'!J208="","",'Model inputs'!J208)</f>
        <v>0</v>
      </c>
      <c r="K352" s="13">
        <f>IF('Model inputs'!K208="","",'Model inputs'!K208)</f>
        <v>0</v>
      </c>
      <c r="L352" s="13">
        <f>IF('Model inputs'!Z285="","",'Model inputs'!Z285)</f>
        <v>100</v>
      </c>
      <c r="M352" s="13">
        <f>IF('Model inputs'!Z285="","",'Model inputs'!Z285)</f>
        <v>100</v>
      </c>
      <c r="N352" s="13">
        <f>IF('Model inputs'!Z285="","",'Model inputs'!Z285)</f>
        <v>100</v>
      </c>
      <c r="O352" s="13">
        <f>IF('Model inputs'!Z285="","",'Model inputs'!Z285)</f>
        <v>100</v>
      </c>
      <c r="P352" s="13">
        <f>IF('Model inputs'!Z285="","",'Model inputs'!Z285)</f>
        <v>100</v>
      </c>
      <c r="Q352" s="13">
        <f>IF('Model inputs'!Z285="","",'Model inputs'!Z285)</f>
        <v>100</v>
      </c>
      <c r="R352" s="13">
        <f>IF('Model inputs'!Z285="","",'Model inputs'!Z285)</f>
        <v>100</v>
      </c>
      <c r="S352" s="13">
        <f>IF('Model inputs'!Z285="","",'Model inputs'!Z285)</f>
        <v>100</v>
      </c>
      <c r="T352" s="13">
        <f>IF('Model inputs'!Z285="","",'Model inputs'!Z285)</f>
        <v>100</v>
      </c>
      <c r="U352" s="13">
        <f>IF('Model inputs'!Z285="","",'Model inputs'!Z285)</f>
        <v>100</v>
      </c>
      <c r="V352" s="13">
        <f>IF('Model inputs'!Z285="","",'Model inputs'!Z285)</f>
        <v>100</v>
      </c>
      <c r="W352" s="13">
        <f>IF('Model inputs'!Z285="","",'Model inputs'!Z285)</f>
        <v>100</v>
      </c>
      <c r="X352" s="13">
        <f>IF('Model inputs'!Z285="","",'Model inputs'!Z285)</f>
        <v>100</v>
      </c>
      <c r="Y352" s="13">
        <f>IF('Model inputs'!Z285="","",'Model inputs'!Z285)</f>
        <v>100</v>
      </c>
    </row>
    <row r="353">
      <c r="A353" t="inlineStr" s="17">
        <is>
          <t xml:space="preserve">Monthly free users · Full-allowance COGS · Briefcase cash and runway</t>
        </is>
      </c>
      <c r="B353" s="13">
        <f>IF('Model inputs'!B311="","",'Model inputs'!B311)</f>
        <v>0</v>
      </c>
      <c r="C353" s="13">
        <f>IF('Model inputs'!C311="","",'Model inputs'!C311)</f>
        <v>1200</v>
      </c>
      <c r="D353" s="13">
        <f>IF('Model inputs'!D311="","",'Model inputs'!D311)</f>
        <v>0</v>
      </c>
      <c r="E353" s="13">
        <f>IF('Model inputs'!E311="","",'Model inputs'!E311)</f>
        <v>0</v>
      </c>
      <c r="F353" s="13">
        <f>IF('Model inputs'!F311="","",'Model inputs'!F311)</f>
        <v>0</v>
      </c>
      <c r="G353" s="13">
        <f>IF('Model inputs'!G311="","",'Model inputs'!G311)</f>
        <v>0</v>
      </c>
      <c r="H353" s="13">
        <f>IF('Model inputs'!H311="","",'Model inputs'!H311)</f>
        <v>0</v>
      </c>
      <c r="I353" s="13">
        <f>IF('Model inputs'!I311="","",'Model inputs'!I311)</f>
        <v>0</v>
      </c>
      <c r="J353" s="13">
        <f>IF('Model inputs'!J311="","",'Model inputs'!J311)</f>
        <v>0</v>
      </c>
      <c r="K353" s="13">
        <f>IF('Model inputs'!K311="","",'Model inputs'!K311)</f>
        <v>0</v>
      </c>
      <c r="L353" s="13">
        <f>IF('Model inputs'!Z22="","",'Model inputs'!Z22)</f>
        <v>1200</v>
      </c>
      <c r="M353" s="13">
        <f>IF('Model inputs'!Z22="","",'Model inputs'!Z22)</f>
        <v>1200</v>
      </c>
      <c r="N353" s="13">
        <f>IF('Model inputs'!Z22="","",'Model inputs'!Z22)</f>
        <v>1200</v>
      </c>
      <c r="O353" s="13">
        <f>IF('Model inputs'!Z22="","",'Model inputs'!Z22)</f>
        <v>1200</v>
      </c>
      <c r="P353" s="13">
        <f>IF('Model inputs'!Z22="","",'Model inputs'!Z22)</f>
        <v>1200</v>
      </c>
      <c r="Q353" s="13">
        <f>IF('Model inputs'!Z22="","",'Model inputs'!Z22)</f>
        <v>1200</v>
      </c>
      <c r="R353" s="13">
        <f>IF('Model inputs'!Z22="","",'Model inputs'!Z22)</f>
        <v>1200</v>
      </c>
      <c r="S353" s="13">
        <f>IF('Model inputs'!Z22="","",'Model inputs'!Z22)</f>
        <v>1200</v>
      </c>
      <c r="T353" s="13">
        <f>IF('Model inputs'!Z22="","",'Model inputs'!Z22)</f>
        <v>1200</v>
      </c>
      <c r="U353" s="13">
        <f>IF('Model inputs'!Z22="","",'Model inputs'!Z22)</f>
        <v>1200</v>
      </c>
      <c r="V353" s="13">
        <f>IF('Model inputs'!Z22="","",'Model inputs'!Z22)</f>
        <v>1200</v>
      </c>
      <c r="W353" s="13">
        <f>IF('Model inputs'!Z22="","",'Model inputs'!Z22)</f>
        <v>1200</v>
      </c>
      <c r="X353" s="13">
        <f>IF('Model inputs'!Z22="","",'Model inputs'!Z22)</f>
        <v>1200</v>
      </c>
      <c r="Y353" s="13">
        <f>IF('Model inputs'!Z22="","",'Model inputs'!Z22)</f>
        <v>1200</v>
      </c>
    </row>
    <row r="354">
      <c r="A354" t="inlineStr" s="17">
        <is>
          <t xml:space="preserve">Pro MRR · Briefcase cash chart series</t>
        </is>
      </c>
      <c r="B354" s="13">
        <f>IF('Model inputs'!B108="","",'Model inputs'!B108)</f>
        <v>0</v>
      </c>
      <c r="C354" s="13">
        <f>IF('Model inputs'!C108="","",'Model inputs'!C108)</f>
        <v>2280</v>
      </c>
      <c r="D354" s="13">
        <v>0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f>'Model inputs'!L355*'Model inputs'!Z234</f>
        <v>2280</v>
      </c>
      <c r="M354" s="13">
        <f>'Model inputs'!M355*'Model inputs'!Z234</f>
        <v>2280</v>
      </c>
      <c r="N354" s="13">
        <f>'Model inputs'!N355*'Model inputs'!Z234</f>
        <v>2280</v>
      </c>
      <c r="O354" s="13">
        <f>'Model inputs'!O355*'Model inputs'!Z234</f>
        <v>2280</v>
      </c>
      <c r="P354" s="13">
        <f>'Model inputs'!P355*'Model inputs'!Z234</f>
        <v>2280</v>
      </c>
      <c r="Q354" s="13">
        <f>'Model inputs'!Q355*'Model inputs'!Z234</f>
        <v>2280</v>
      </c>
      <c r="R354" s="13">
        <f>'Model inputs'!R355*'Model inputs'!Z234</f>
        <v>2280</v>
      </c>
      <c r="S354" s="13">
        <f>'Model inputs'!S355*'Model inputs'!Z234</f>
        <v>2280</v>
      </c>
      <c r="T354" s="13">
        <f>'Model inputs'!T355*'Model inputs'!Z234</f>
        <v>2280</v>
      </c>
      <c r="U354" s="13">
        <f>'Model inputs'!U355*'Model inputs'!Z234</f>
        <v>2280</v>
      </c>
      <c r="V354" s="13">
        <f>'Model inputs'!V355*'Model inputs'!Z234</f>
        <v>2280</v>
      </c>
      <c r="W354" s="13">
        <f>'Model inputs'!W355*'Model inputs'!Z234</f>
        <v>2280</v>
      </c>
      <c r="X354" s="13">
        <f>'Model inputs'!X355*'Model inputs'!Z234</f>
        <v>2280</v>
      </c>
      <c r="Y354" s="13">
        <f>'Model inputs'!Y355*'Model inputs'!Z234</f>
        <v>2280</v>
      </c>
    </row>
    <row r="355">
      <c r="A355" t="inlineStr" s="17">
        <is>
          <t xml:space="preserve">Pro subscribers · Briefcase cash chart series</t>
        </is>
      </c>
      <c r="B355" s="13">
        <f>IF('Model inputs'!B260="","",'Model inputs'!B260)</f>
        <v>0</v>
      </c>
      <c r="C355" s="13">
        <f>IF('Model inputs'!C260="","",'Model inputs'!C260)</f>
        <v>120</v>
      </c>
      <c r="D355" s="13">
        <f>IF('Model inputs'!D349="","",'Model inputs'!D349)</f>
        <v>0</v>
      </c>
      <c r="E355" s="13">
        <f>IF('Model inputs'!E349="","",'Model inputs'!E349)</f>
        <v>0</v>
      </c>
      <c r="F355" s="13">
        <f>IF('Model inputs'!F349="","",'Model inputs'!F349)</f>
        <v>0</v>
      </c>
      <c r="G355" s="13">
        <f>IF('Model inputs'!G349="","",'Model inputs'!G349)</f>
        <v>0</v>
      </c>
      <c r="H355" s="13">
        <f>IF('Model inputs'!H349="","",'Model inputs'!H349)</f>
        <v>0</v>
      </c>
      <c r="I355" s="13">
        <f>IF('Model inputs'!I349="","",'Model inputs'!I349)</f>
        <v>0</v>
      </c>
      <c r="J355" s="13">
        <f>IF('Model inputs'!J349="","",'Model inputs'!J349)</f>
        <v>0</v>
      </c>
      <c r="K355" s="13">
        <f>IF('Model inputs'!K349="","",'Model inputs'!K349)</f>
        <v>0</v>
      </c>
      <c r="L355" s="13">
        <f>'Model inputs'!Z22*'Model inputs'!Z34</f>
        <v>120</v>
      </c>
      <c r="M355" s="13">
        <f>'Model inputs'!Z22*'Model inputs'!Z34</f>
        <v>120</v>
      </c>
      <c r="N355" s="13">
        <f>'Model inputs'!Z22*'Model inputs'!Z34</f>
        <v>120</v>
      </c>
      <c r="O355" s="13">
        <f>'Model inputs'!Z22*'Model inputs'!Z34</f>
        <v>120</v>
      </c>
      <c r="P355" s="13">
        <f>'Model inputs'!Z22*'Model inputs'!Z34</f>
        <v>120</v>
      </c>
      <c r="Q355" s="13">
        <f>'Model inputs'!Z22*'Model inputs'!Z34</f>
        <v>120</v>
      </c>
      <c r="R355" s="13">
        <f>'Model inputs'!Z22*'Model inputs'!Z34</f>
        <v>120</v>
      </c>
      <c r="S355" s="13">
        <f>'Model inputs'!Z22*'Model inputs'!Z34</f>
        <v>120</v>
      </c>
      <c r="T355" s="13">
        <f>'Model inputs'!Z22*'Model inputs'!Z34</f>
        <v>120</v>
      </c>
      <c r="U355" s="13">
        <f>'Model inputs'!Z22*'Model inputs'!Z34</f>
        <v>120</v>
      </c>
      <c r="V355" s="13">
        <f>'Model inputs'!Z22*'Model inputs'!Z34</f>
        <v>120</v>
      </c>
      <c r="W355" s="13">
        <f>'Model inputs'!Z22*'Model inputs'!Z34</f>
        <v>120</v>
      </c>
      <c r="X355" s="13">
        <f>'Model inputs'!Z22*'Model inputs'!Z34</f>
        <v>120</v>
      </c>
      <c r="Y355" s="13">
        <f>'Model inputs'!Z22*'Model inputs'!Z34</f>
        <v>120</v>
      </c>
    </row>
    <row r="357">
      <c r="A357" t="inlineStr" s="16">
        <is>
          <t xml:space="preserve">Dimensions</t>
        </is>
      </c>
    </row>
    <row r="358">
      <c r="A358" t="inlineStr" s="17">
        <is>
          <t xml:space="preserve">Funding basis</t>
        </is>
      </c>
      <c r="B358" t="inlineStr" s="20">
        <is>
          <t xml:space="preserve">Bootstrapped — $0</t>
        </is>
      </c>
      <c r="C358" t="inlineStr" s="20">
        <is>
          <t xml:space="preserve">Illustrative pre-seed — $25,000</t>
        </is>
      </c>
      <c r="D358" t="inlineStr" s="20">
        <is>
          <t xml:space="preserve">Lean launch — $5,000</t>
        </is>
      </c>
    </row>
  </sheetData>
  <mergeCells count="2">
    <mergeCell ref="A1:Z1"/>
    <mergeCell ref="A2:Z2"/>
  </mergeCells>
</worksheet>
</file>